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Nguyễn Mạnh Cường_UC kiểm tra" sheetId="2" r:id="rId6"/>
    <sheet state="visible" name="Nguyễn Mạnh Cường SRS Review Ch" sheetId="3" r:id="rId7"/>
    <sheet state="visible" name="Nguyễn Mạnh Cường Code Review C" sheetId="4" r:id="rId8"/>
    <sheet state="visible" name="Nguyễn Mạnh Cường_Unit Test" sheetId="5" r:id="rId9"/>
  </sheets>
  <definedNames/>
  <calcPr/>
</workbook>
</file>

<file path=xl/sharedStrings.xml><?xml version="1.0" encoding="utf-8"?>
<sst xmlns="http://schemas.openxmlformats.org/spreadsheetml/2006/main" count="1061" uniqueCount="671">
  <si>
    <t>HỌC VIỆN CÔNG NGHỆ BƯU CHÍNH VIỄN THÔNG</t>
  </si>
  <si>
    <t>KHOA CÔNG NGHỆ THÔNG TIN I</t>
  </si>
  <si>
    <t>BÁO CÁO</t>
  </si>
  <si>
    <t>BÀI TẬP DỰ ÁN NHÓM</t>
  </si>
  <si>
    <t>MÔN ĐẢM BẢO CHẤT LƯỢNG PHẦN MỀM</t>
  </si>
  <si>
    <t>Giảng viên hướng dẫn:</t>
  </si>
  <si>
    <t>TS Đào Ngọc Phong</t>
  </si>
  <si>
    <t xml:space="preserve">Nhóm bài tập: </t>
  </si>
  <si>
    <t xml:space="preserve">Chủ đề: </t>
  </si>
  <si>
    <t>Đảm bảo chất lượng phần mềm cho hệ thống bán tour du lịch</t>
  </si>
  <si>
    <t>Thành viên nhóm:</t>
  </si>
  <si>
    <t>Nguyễn Đức Bảo</t>
  </si>
  <si>
    <t>B22DCCN064</t>
  </si>
  <si>
    <t>Tìm kiếm và đặt tour</t>
  </si>
  <si>
    <t>Lý Chí Công</t>
  </si>
  <si>
    <t>B22DCCN088</t>
  </si>
  <si>
    <t>Quản lý tour</t>
  </si>
  <si>
    <t>Nguyễn Mạnh Cường</t>
  </si>
  <si>
    <t>B22DCCN100</t>
  </si>
  <si>
    <t>Thanh toán và xử lý đơn hàng</t>
  </si>
  <si>
    <t>Phạm Văn Đức</t>
  </si>
  <si>
    <t>B22DCCN244</t>
  </si>
  <si>
    <t>Đánh giá tour và Feedback</t>
  </si>
  <si>
    <t>Trần Đức Phương</t>
  </si>
  <si>
    <t>B22DCCN640</t>
  </si>
  <si>
    <t>Tương tác với chatbot</t>
  </si>
  <si>
    <t>Hà Nội 2026</t>
  </si>
  <si>
    <t>MODULE 3: THANH TOÁN VÀ XỬ LÍ HÓA ĐƠN</t>
  </si>
  <si>
    <t>I. Thống kê</t>
  </si>
  <si>
    <t xml:space="preserve">ProjectName: </t>
  </si>
  <si>
    <t>Hệ thống website bán tour du lịch</t>
  </si>
  <si>
    <t xml:space="preserve">Version: </t>
  </si>
  <si>
    <t>1.0</t>
  </si>
  <si>
    <t xml:space="preserve">Test environment: </t>
  </si>
  <si>
    <t>Windows 11</t>
  </si>
  <si>
    <t xml:space="preserve">Author: </t>
  </si>
  <si>
    <t xml:space="preserve">Create date: </t>
  </si>
  <si>
    <t>Evaluate:</t>
  </si>
  <si>
    <t>Ưu điểm cực mạnh: Kỹ năng xử lý đồng bộ hóa (Database Locking chống Overbooking), bắt lỗi tinh vi (chia khối try/catch chống sập dây chuyền) và tư duy toán học loại bỏ sai số giao dịch.
Nhược điểm nhỏ: Hard-code text, chưa tận dụng bulkCreate để tối ưu truy vấn Database vòng lặp, và cần thiết kế thêm Caching (Redis) nếu muốn mở rộng quy mô (Scale).</t>
  </si>
  <si>
    <t>Pass</t>
  </si>
  <si>
    <t>Fail</t>
  </si>
  <si>
    <t>Untested</t>
  </si>
  <si>
    <t>N/A</t>
  </si>
  <si>
    <t>Total</t>
  </si>
  <si>
    <t>II. Các chức năng của module</t>
  </si>
  <si>
    <t>STT</t>
  </si>
  <si>
    <t>Chức năng</t>
  </si>
  <si>
    <t>Test / Untest</t>
  </si>
  <si>
    <t>Lý do (nếu không test)</t>
  </si>
  <si>
    <t>Kỹ thuật test</t>
  </si>
  <si>
    <t>Lý do chọn kỹ thuật test</t>
  </si>
  <si>
    <t>Ghi chú</t>
  </si>
  <si>
    <t>Tìm kiếm hóa đơn</t>
  </si>
  <si>
    <t>Test</t>
  </si>
  <si>
    <t>Metamorphic testing (Kiểm thử biến hình), Equivalence Partitioning (Phân vùng tương đương)</t>
  </si>
  <si>
    <t xml:space="preserve"> 
Equivalence Partitioning: Giúp giảm số lượng test case bằng cách chia các giá trị tìm kiếm thành các nhóm (hợp lệ, không hợp lệ, ký tự đặc biệt, trống) mà vẫn đảm bảo độ bao phủ.
Pairwise testing: Tối ưu hóa việc kiểm tra sự kết hợp giữa các bộ lọc tìm kiếm (ví dụ: tìm kiếm theo mã đơn hàng) để tìm ra lỗi phát sinh từ sự tương tác giữa các điều kiện mà không cần test mọi trường hợp.
Metamorphic testing: Phù hợp để kiểm tra tính đúng đắn của kết quả tìm kiếm</t>
  </si>
  <si>
    <t>Thanh toán hóa đơn</t>
  </si>
  <si>
    <t>Decision Table Testing (Kiểm thử bảng quyết định), State transition testing (Kiểm thử chuyển đổi trạng thái)</t>
  </si>
  <si>
    <t>Decision Table Testing: Để chặn các lỗ hổng nghiêm trọng như: thanh toán 2 lần cho 1 hóa đơn, hóa đơn đã hủy nhưng vẫn trừ tiền, hoặc đang kẹt ở cổng thanh toán nhưng lại báo thành công.                                                                    State transition testing: Có rất nhiều điều kiện (If-Else) đan chéo nhau quyết định việc thanh toán có thành công hay không. Bảng quyết định giúp bạn list ra mọi kịch bản để không sót case nào dẫn đến việc tính sai tiền của khách.</t>
  </si>
  <si>
    <t>Xem lại danh sách đơn/vé của người dùng</t>
  </si>
  <si>
    <t>Equivalence Partitioning (Phân vùng tương đương), Decision Table Testing (Kiểm thử bảng quyết định)</t>
  </si>
  <si>
    <t>Equivalence Partitioning: Danh sách vé của một người có thể từ 0 vé cho đến hàng ngàn vé. Bạn cần đảm bảo UI không bị vỡ và hệ thống tải dữ liệu mượt mà ở mọi ranh giới số lượng.                                                                             Decision Table: Khách hàng thường muốn tìm lại vé cũ bằng cách kết hợp nhiều điều kiện</t>
  </si>
  <si>
    <t>III. Các testcase</t>
  </si>
  <si>
    <t>ID</t>
  </si>
  <si>
    <t>Feature</t>
  </si>
  <si>
    <t>Testcase Purpose</t>
  </si>
  <si>
    <t>Testcase Description</t>
  </si>
  <si>
    <t>Input</t>
  </si>
  <si>
    <t>Expected Output</t>
  </si>
  <si>
    <t>Date</t>
  </si>
  <si>
    <t>Result</t>
  </si>
  <si>
    <t>Note</t>
  </si>
  <si>
    <t>1. Tìm kiếm hóa đơn hóa đơn</t>
  </si>
  <si>
    <t>TTHD_1</t>
  </si>
  <si>
    <t>Giao diện màn hình</t>
  </si>
  <si>
    <t>Kiểm tra tổng thể giao diện
màn hình</t>
  </si>
  <si>
    <t>Kiểm tra về bố cục, font chữ,
chính tả, màu chữ</t>
  </si>
  <si>
    <t>Các label, textbox cùng font chữ
cỡ chữ, căn lề trái, có độ dài,
rộng và khoảng cách bằng nhau,
không xô lệch.
- Không có lỗi về chính tả, cấu
trúc câu, ngữ pháp trên màn hình</t>
  </si>
  <si>
    <t>TTHD_2</t>
  </si>
  <si>
    <t>Kiểm tra giao diện khi thu
nhỏ, phóng to</t>
  </si>
  <si>
    <t xml:space="preserve">1. Nhấn phím Ctrl -
2. Nhấn phim Ctrl +    </t>
  </si>
  <si>
    <t xml:space="preserve">
Màn hình thu nhỏ, phóng to
tương ứng và không bị vỡ giao
diện</t>
  </si>
  <si>
    <t>TTHD_3</t>
  </si>
  <si>
    <t>Kiểm tra thứ tự di chuyển trỏ trên màn hình khi nhấn phím Tab</t>
  </si>
  <si>
    <t>Forcus vào màn hình. Nhấn
Tab liên tục</t>
  </si>
  <si>
    <t>Con trỏ di chuyển lần lượt theo
thứ tự: Từ trái qua phải, từ trên
xuống dưới.</t>
  </si>
  <si>
    <t>TTHD_4</t>
  </si>
  <si>
    <t>Kiểm tra thứ tự con trỏ di
chuyển ngược lại trên màn hình khi nhấn Shift-Tab</t>
  </si>
  <si>
    <t>Forcus vào màn hình. Nhấn
phím Shift-Tab liên tục</t>
  </si>
  <si>
    <t>Con trỏ di chuyển lần lượt theo
thứ tự: từ dưới lên trên, từ phải
qua trái.</t>
  </si>
  <si>
    <t>TTHD_5</t>
  </si>
  <si>
    <t>Kiểm tra thực hiện chức năng của button khi nhấn enter</t>
  </si>
  <si>
    <t>focus vào button và nhấn enter</t>
  </si>
  <si>
    <t>Nếu đang focus vào 1 button thì sẽ thực hiện chức năng của button</t>
  </si>
  <si>
    <t>TTHD_6</t>
  </si>
  <si>
    <t>Kiểm tra danh sách đơn hàng</t>
  </si>
  <si>
    <t xml:space="preserve">focus chuột vào màn hình xem có hiển thị danh sách đơn hàng hay không </t>
  </si>
  <si>
    <t>Hiển thị danh sách các đơn hàng</t>
  </si>
  <si>
    <t>TTHD_7</t>
  </si>
  <si>
    <t>Kiểm tra chia trang</t>
  </si>
  <si>
    <t>Chia trang khi số lượng dữ liệu lớn</t>
  </si>
  <si>
    <t>TTHD_8</t>
  </si>
  <si>
    <t>Kiểm tra chức năng</t>
  </si>
  <si>
    <t>kiểm tra bộ lọc chờ thanh toán</t>
  </si>
  <si>
    <t>nhấp chuột vào danh mục chờ thanh toán</t>
  </si>
  <si>
    <t>Hiển thị danh sách đơn hàng chờ thanh toán</t>
  </si>
  <si>
    <t>TTHD_9</t>
  </si>
  <si>
    <t>Kiểm tra bộ lọc đã xác nhận</t>
  </si>
  <si>
    <t>nhấp chuột vào danh mục đã xác nhận</t>
  </si>
  <si>
    <t>Hiển thị danh sách đơn hàng đã xác nhận</t>
  </si>
  <si>
    <t>TTHD_10</t>
  </si>
  <si>
    <t>Kiểm tra bộ lọc đã kết thúc</t>
  </si>
  <si>
    <t>nhấp chuột vào danh mục đã kết thúc</t>
  </si>
  <si>
    <t>Hiển thị danh sách đơn hàng đã kết thúc</t>
  </si>
  <si>
    <t>TTHD_11</t>
  </si>
  <si>
    <t>Kiểm tra bộ lọc đã hủy</t>
  </si>
  <si>
    <t>nhấp chuột vào danh mục danh mục đã hủy</t>
  </si>
  <si>
    <t>Hiển thị danh sách đơn hàng đã hủy</t>
  </si>
  <si>
    <t>TTHD_12</t>
  </si>
  <si>
    <t>Tìm kiếm không có kết quả</t>
  </si>
  <si>
    <t>Nhấp chuột vào thanh tìm kiếm và nhập nội dung tìm kiếm và nhấn enter</t>
  </si>
  <si>
    <t>đơn hàng ="asda"</t>
  </si>
  <si>
    <t>Hiển thị không có dữ liệu</t>
  </si>
  <si>
    <t>TTHD_13</t>
  </si>
  <si>
    <t>Để trống thanh tìm kiếm</t>
  </si>
  <si>
    <t>đơn hàng=""</t>
  </si>
  <si>
    <t>Hiển thị danh sách toàn bộ đơn hàng</t>
  </si>
  <si>
    <t>TTHD_14</t>
  </si>
  <si>
    <t>Tìm kiếm theo tour du lịch</t>
  </si>
  <si>
    <t xml:space="preserve">đơn hàng ="MDH20260513-0995"
</t>
  </si>
  <si>
    <t>Danh sách hóa đơn hiển thị hóa đơn có mã tương ứng</t>
  </si>
  <si>
    <t>TTHD_15</t>
  </si>
  <si>
    <t>Kiểm tra bộ lọc khóa</t>
  </si>
  <si>
    <t>Nhấp chuột chọn khóa</t>
  </si>
  <si>
    <t>Khóa = Khóa 2022</t>
  </si>
  <si>
    <t>Hiển thị danh sách môn học thuộc khóa 2022</t>
  </si>
  <si>
    <t>TTHD_16</t>
  </si>
  <si>
    <t>Kiểm tra bộ lọc năm học</t>
  </si>
  <si>
    <t>Nhấp chuột chọn năm học</t>
  </si>
  <si>
    <t>năm học="2025-2026"</t>
  </si>
  <si>
    <t>Hiển thị danh sách môn học thuộc năm học 2025-2026</t>
  </si>
  <si>
    <t>TTHD_17</t>
  </si>
  <si>
    <t>Kiểm tra bộ lọc hệ đào tạo</t>
  </si>
  <si>
    <t>Nhấp chuột chọn hệ đào tạo</t>
  </si>
  <si>
    <t>hệ đào tạo = "Đặc thù"</t>
  </si>
  <si>
    <t>Hiển thị danh sách môn học hệ đào tạo đặc thù</t>
  </si>
  <si>
    <t>TTHD_18</t>
  </si>
  <si>
    <t>Kiểm tra tìm kiếm</t>
  </si>
  <si>
    <t>đơn hàng="MDH20260513-0995
"</t>
  </si>
  <si>
    <t>Số lượng tìm kiếm khi tìm kiếm đơn hàng ="MDH20260513-0995
" ít hơn số lượng tìm kiếm khi đơn hàng =""</t>
  </si>
  <si>
    <t>2.Thanh toán hóa đơn</t>
  </si>
  <si>
    <t>TTHD_19</t>
  </si>
  <si>
    <t>Kiểm tra trạng thái nút bấm</t>
  </si>
  <si>
    <t>Di chuột vào nút thanh toán</t>
  </si>
  <si>
    <t>Hiện bàn tay hoặc thay đổi màu sắc khi hover</t>
  </si>
  <si>
    <t>TTHD_20</t>
  </si>
  <si>
    <t>Kiểm tra chức năng thanh toán</t>
  </si>
  <si>
    <t>Thanh toán một hóa đơn</t>
  </si>
  <si>
    <t>Hiện màn hình thanh toán qua ví vnpay</t>
  </si>
  <si>
    <t>TTHD_21</t>
  </si>
  <si>
    <t>Kiểm tra tổng thể giao diện màn hình</t>
  </si>
  <si>
    <t>Kiểm tra về bố cục, font chữ, chính tả, màu sắc</t>
  </si>
  <si>
    <t xml:space="preserve"> 
Các label, textbox cùng font chữ
cỡ chữ, căn lề trái, có độ dài,
rộng và khoảng cách bằng nhau,
không xô lệch.
- Không có lỗi về chính tả, cấu
trúc câu, ngữ pháp trên màn hình</t>
  </si>
  <si>
    <t>TTHD_22</t>
  </si>
  <si>
    <t>Kiểm tra giao diện khi phóng to , thu nhỏ</t>
  </si>
  <si>
    <t xml:space="preserve"> 
1. Nhấn phím Ctrl -
2. Nhấn phim Ctrl +    </t>
  </si>
  <si>
    <t xml:space="preserve"> 
Màn hình thu nhỏ, phóng to
tương ứng và không bị vỡ giao
diện</t>
  </si>
  <si>
    <t>TTHD_23</t>
  </si>
  <si>
    <t xml:space="preserve"> 
Forcus vào màn hình. Nhấn
Tab liên tục</t>
  </si>
  <si>
    <t xml:space="preserve"> 
Con trỏ di chuyển lần lượt theo
thứ tự: Từ trái qua phải, từ trên
xuống dưới.</t>
  </si>
  <si>
    <t>TTHD_24</t>
  </si>
  <si>
    <t xml:space="preserve"> 
Kiểm tra thứ tự con trỏ di
chuyển ngược lại trên màn hình khi nhấn Shift-Tab</t>
  </si>
  <si>
    <t xml:space="preserve"> 
Forcus vào màn hình. Nhấn Shift
Tab liên tục</t>
  </si>
  <si>
    <t xml:space="preserve"> 
Con trỏ di chuyển lần lượt theo
thứ tự: từ dưới lên trên, từ phải qua trái</t>
  </si>
  <si>
    <t>TTHD_25</t>
  </si>
  <si>
    <t>TTHD_26</t>
  </si>
  <si>
    <t>Kiểm tra hover vào button</t>
  </si>
  <si>
    <t>Di chuột hover vào button</t>
  </si>
  <si>
    <t>Hover vào button thì button sẽ thay đổi màu sắc và trỏ chuột biến thành bàn tay</t>
  </si>
  <si>
    <t>TTHD_27</t>
  </si>
  <si>
    <t>Kiểm tra chức năng thanh toán qua app ngân hàng và ví điện tử</t>
  </si>
  <si>
    <t>Chọn App ngân hàng và ví điện tử</t>
  </si>
  <si>
    <t>Hiện màn hình qr code để người dùng quét mã thanh toán</t>
  </si>
  <si>
    <t>TTHD_28</t>
  </si>
  <si>
    <t>Kiểm tra chức năng thẻ nội địa và tài khoản ngân hàng</t>
  </si>
  <si>
    <t>Chọn thẻ nội địa và tài khoản ngân hàng và nhập thông tin ngân hàng</t>
  </si>
  <si>
    <t>ngân hàng ="ncb", số thẻ ="9704198526191432198", tên chủ thẻ="NGUYEN VAN A", ngày phát hành="07/15", Mật khẩu OTP="123456"</t>
  </si>
  <si>
    <t>Hiện thị thanh toán thành công, cập nhật hóa đơn sang trạng thài đã xác nhận</t>
  </si>
  <si>
    <t>TTHD_29</t>
  </si>
  <si>
    <t>Check validate</t>
  </si>
  <si>
    <t>Kiểm tra sai tên ngân hàng</t>
  </si>
  <si>
    <t>ngân hàng ="ncb12", số thẻ ="9704198526191432198", tên chủ thẻ="NGUYEN VAN A", ngày phát hành="07/15", Mật khẩu OTP="123456"</t>
  </si>
  <si>
    <t>Thông báo không tìm thấy ngân hàng</t>
  </si>
  <si>
    <t>TTHD_30</t>
  </si>
  <si>
    <t>Kiểm tra sai số thẻ</t>
  </si>
  <si>
    <t>ngân hàng ="ncb", số thẻ ="9704198526191431111", tên chủ thẻ="NGUYEN VAN A", ngày phát hành="07/15", Mật khẩu OTP="123456"</t>
  </si>
  <si>
    <t>Thông báo sai số thẻ</t>
  </si>
  <si>
    <t>TTHD_31</t>
  </si>
  <si>
    <t>Kiểm tra tên chủ thẻ</t>
  </si>
  <si>
    <t>ngân hàng ="ncb", số thẻ ="9704198526191432198", tên chủ thẻ="NGUYEN VAN B", ngày phát hành="07/15", Mật khẩu OTP="123456"</t>
  </si>
  <si>
    <t>Thông báo tên chủ thẻ sai</t>
  </si>
  <si>
    <t>TTHD_32</t>
  </si>
  <si>
    <t>Kiểm tra ngày phát hành thẻ</t>
  </si>
  <si>
    <t>ngân hàng ="ncb", số thẻ ="9704198526191432198", tên chủ thẻ="NGUYEN VAN A", ngày phát hành="07/16", Mật khẩu OTP="123456"</t>
  </si>
  <si>
    <t>Thông báo ngày phát hành thẻ sai</t>
  </si>
  <si>
    <t>TTHD_33</t>
  </si>
  <si>
    <t>Kiểm tra mật khẩu OTP</t>
  </si>
  <si>
    <t>ngân hàng ="ncb", số thẻ ="9704198526191432198", tên chủ thẻ="NGUYEN VAN A", ngày phát hành="07/15", Mật khẩu OTP="111111"</t>
  </si>
  <si>
    <t>Thông báo sai mã OTP</t>
  </si>
  <si>
    <t>TTHD_34</t>
  </si>
  <si>
    <t>Kiểm tra nếu để quá 1 ngày đơn có tự hủy hay không</t>
  </si>
  <si>
    <t>Để im không thanh toán trong vòng 24h</t>
  </si>
  <si>
    <t>Đơn hàng tự hủy</t>
  </si>
  <si>
    <t>3. Xem lại danh sách đơn/vé của người dùng</t>
  </si>
  <si>
    <t>TTHD_35</t>
  </si>
  <si>
    <t>TTHD_36</t>
  </si>
  <si>
    <t xml:space="preserve">
Màn hình thu nhỏ, phóng to
tương ứng và không bị vỡ giao
diện</t>
  </si>
  <si>
    <t>TTHD_37</t>
  </si>
  <si>
    <t>TTHD_38</t>
  </si>
  <si>
    <t>TTHD_39</t>
  </si>
  <si>
    <t>TTHD_40</t>
  </si>
  <si>
    <t>Kiểm tra giao diện thanh tìm kiếm</t>
  </si>
  <si>
    <t>Kiểm tra giao diện thanh tìm kiếm có hiển thị đúng yêu cầu hay không</t>
  </si>
  <si>
    <t>Thanh tìm kiếm hiện chữ ẩn "Tìm theo mã hoặc tên môn học"</t>
  </si>
  <si>
    <t>TTHD_41</t>
  </si>
  <si>
    <t>Kiểm tra danh sách loại vé</t>
  </si>
  <si>
    <t xml:space="preserve">focus chuột vào dropdown loại vé xem có hiển thị danh sách loại vé hay không </t>
  </si>
  <si>
    <t>Hiển thị danh sách các loại vé</t>
  </si>
  <si>
    <t>TTHD_42</t>
  </si>
  <si>
    <t>Kiểm tra danh sách vé</t>
  </si>
  <si>
    <t xml:space="preserve">xem có hiển thị danh sách vé hay không </t>
  </si>
  <si>
    <t>Hiển thị danh sách vé</t>
  </si>
  <si>
    <t>TTHD_43</t>
  </si>
  <si>
    <t>Chia trang khi dữ liệu tìm kiếm có số lượng lớn</t>
  </si>
  <si>
    <t>TTHD_44</t>
  </si>
  <si>
    <t>Tìm kiếm theo mã tour</t>
  </si>
  <si>
    <t>mã tour="TKT20260513"</t>
  </si>
  <si>
    <t>Danh sách vé được hiển thị không phân biệt chữ hoa, chữ thường</t>
  </si>
  <si>
    <t>TTHD_45</t>
  </si>
  <si>
    <t>mã tour="fsdfds"</t>
  </si>
  <si>
    <t xml:space="preserve">Hiển thị bảng trống </t>
  </si>
  <si>
    <t>TTHD_46</t>
  </si>
  <si>
    <t>mã tour =" "</t>
  </si>
  <si>
    <t>Hiển thị danh sách toàn bộ  môn học</t>
  </si>
  <si>
    <t>TTHD_47</t>
  </si>
  <si>
    <t>Kiểm tra bộ lọc còn hạn</t>
  </si>
  <si>
    <t>Nhấp chuột chọn còn hạn</t>
  </si>
  <si>
    <t>hạn="Còn hạn"</t>
  </si>
  <si>
    <t>Hiển thị danh sách vé còn hạn</t>
  </si>
  <si>
    <t>TTHD_48</t>
  </si>
  <si>
    <t>Kiểm tra bộ lọc hết hạn</t>
  </si>
  <si>
    <t>Nhấp chuột chọn hết hạn</t>
  </si>
  <si>
    <t>hạn="hết hạn"</t>
  </si>
  <si>
    <t>Hiển thị danh sách vé hết hạn</t>
  </si>
  <si>
    <t>TTHD_49</t>
  </si>
  <si>
    <t>Nhấp chuột chọn đã hủy</t>
  </si>
  <si>
    <t>hạn="đã hủy"</t>
  </si>
  <si>
    <t>Hiển thị danh sách vé đã hủy</t>
  </si>
  <si>
    <t>SRS Review Checklist</t>
  </si>
  <si>
    <t>Mã dự án</t>
  </si>
  <si>
    <t>HTBTDL</t>
  </si>
  <si>
    <t>Phiên bản sản phẩm</t>
  </si>
  <si>
    <t>v1.0</t>
  </si>
  <si>
    <t>Phân hệ / Module</t>
  </si>
  <si>
    <t>Thanh toán và xử lí hóa đơn</t>
  </si>
  <si>
    <t>Lần xem xét</t>
  </si>
  <si>
    <t>Người xem xét</t>
  </si>
  <si>
    <t>Ngày xem xét</t>
  </si>
  <si>
    <t>Độ lớn sản phẩm</t>
  </si>
  <si>
    <t>1 use case</t>
  </si>
  <si>
    <t>Nguồn lực dành cho xem xét (MH)</t>
  </si>
  <si>
    <t>Câu hỏi</t>
  </si>
  <si>
    <t>Có</t>
  </si>
  <si>
    <t>Không</t>
  </si>
  <si>
    <t>Điều kiện</t>
  </si>
  <si>
    <t>Kiểm soát tài liệu</t>
  </si>
  <si>
    <t>Tài liệu có tuân thủ theo yêu cầu kiểm soát tài liệu không:</t>
  </si>
  <si>
    <t>Bắt buộc</t>
  </si>
  <si>
    <t>Mẫu tài liệu có phải là mẫu mới nhất không?</t>
  </si>
  <si>
    <t>x</t>
  </si>
  <si>
    <t>Trang tiêu đề có bao gồm đủ tên tài liệu, phiên bản, tên công ty và logo, mã dự án, mã hiệu tài liệu và thời gian ban hành không?</t>
  </si>
  <si>
    <t>Hiện chưa có tên công ty và logo</t>
  </si>
  <si>
    <t>Đầu và cuối trang có bao gồm tên, phiên bản của tài liệu, Mã hiệu của template không?</t>
  </si>
  <si>
    <t>Đánh số trang có theo đúng qui định: số thứ tự/tổng số trang?</t>
  </si>
  <si>
    <t>Trang ký có bao gồm đủ Người xem xét &amp; Người phê duyệt không?</t>
  </si>
  <si>
    <t>Có bảng theo dõi lịch sử thay đổi không?</t>
  </si>
  <si>
    <t>Đối với trường hợp phiên bản tài liệu &gt; v1.0:</t>
  </si>
  <si>
    <t>Hiện đang là tài liệu v1.0, chưa có thay đổi</t>
  </si>
  <si>
    <t>Các nội dung ghi nhận trong Bảng ghi nhận thay đổi này có đầy đủ và đúng không?</t>
  </si>
  <si>
    <t>Giới thiệu chung</t>
  </si>
  <si>
    <t>Có nêu rõ mục đích của tài liệu không?</t>
  </si>
  <si>
    <t>Phạm vi hệ thống có được mô tả rõ ràng không?</t>
  </si>
  <si>
    <t>Các khái niệm và thuật ngữ có được định nghĩa đầy đủ không?</t>
  </si>
  <si>
    <t>Có liệt kê các tài liệu tham khảo không?</t>
  </si>
  <si>
    <t>Nếu có, mỗi tài liệu có bao gồm các thông tin sau không?</t>
  </si>
  <si>
    <t>Tên tài liệu</t>
  </si>
  <si>
    <t>Ngày phát hành</t>
  </si>
  <si>
    <t>Nguồn</t>
  </si>
  <si>
    <t>Có mô tả giới hạn của tài liệu không?</t>
  </si>
  <si>
    <t>Có mô tả tổ chức của tài liệu không?</t>
  </si>
  <si>
    <t>Mô tả tổng thể</t>
  </si>
  <si>
    <t>Có xác định ngữ cảnh và điều kiện sử dụng của hệ thống (scenarios and operational concepts) không?</t>
  </si>
  <si>
    <t>Có liệt kê các chức năng sản phẩm trong tài liệu không?</t>
  </si>
  <si>
    <t>Các chức năng sản phẩm được liệt kê này:</t>
  </si>
  <si>
    <t>Có được phân nhóm một cách hợp lý?</t>
  </si>
  <si>
    <t>Có được mô tả một cách chính xác không?</t>
  </si>
  <si>
    <t>Danh sách Nhóm người / Người sử dụng có được đề cập theo các yêu cầu / chức năng này này không?</t>
  </si>
  <si>
    <t>Vai trò của Nhóm người / Người sử dụng có được ghi nhận không?</t>
  </si>
  <si>
    <t>Có mô hình / Sơ đồ Tổng thể hệ thống không?</t>
  </si>
  <si>
    <t>Có mô tả đặc điểm người sử dụng không?</t>
  </si>
  <si>
    <t>Có mô tả các ràng buộc đối với hệ thống không?</t>
  </si>
  <si>
    <t>Có các giả thiết và phụ thuộc không?</t>
  </si>
  <si>
    <t>Được thể hiện ở "Phạm vi"</t>
  </si>
  <si>
    <t>Đặc tả yêu cầu chức năng sản phẩm - Tổng quát</t>
  </si>
  <si>
    <t>Mỗi yêu cầu có được xác định duy nhất và chính xác không?</t>
  </si>
  <si>
    <t>Các yêu cầu có thống nhất không?</t>
  </si>
  <si>
    <t>Có thứ tự ưu tiên / độ ưu tiên thực hiện cho các yêu cầu không?</t>
  </si>
  <si>
    <t>Hiện chưa có thứ tự ưu tiên cho các yêu cầu</t>
  </si>
  <si>
    <t>Có ghi nhận mã hiệu và tên gọi cho tất cả các yêu cầu không?</t>
  </si>
  <si>
    <t>Các dẫn chiếu đến các yêu cầu khác trong tài liệu có đúng không?</t>
  </si>
  <si>
    <t>Nếu tài liệu SRS được sử dụng để nghiệm thu hệ thống: Có mô tả tiêu chí nghiệm thu của các chức năng sản phẩm trong tài liệu không?</t>
  </si>
  <si>
    <t>Tài liệu chưa có mục tiêu chí nghiệm thu cho từng chức năng</t>
  </si>
  <si>
    <t>Các yêu cầu có đầy đủ thông tin cần thiết không?</t>
  </si>
  <si>
    <t>Nếu có yêu cầu nào thiếu có được đánh dấu lại không?</t>
  </si>
  <si>
    <t>Hiện chưa có đánh dấu riêng cho các yêu cầu thiếu thông tin</t>
  </si>
  <si>
    <t>Các yêu cầu khác về chất lượng có được mô tả rõ ràng và được số hoá, với những điều chỉnh có thể chấp nhận được không?</t>
  </si>
  <si>
    <t>Các yêu cầu có nằm trong phạm vi dự án không?</t>
  </si>
  <si>
    <t>Các yêu cầu có thực sự là yêu cầu mà không phải là đề xuất thiết kế hoặc giải pháp thực hiện không?</t>
  </si>
  <si>
    <t>Hành động cần làm trong những trường hợp có lỗi (nếu có) có được mô tả không?</t>
  </si>
  <si>
    <t>Đặc tả yêu cầu chức năng sản phẩm - Chi tiết</t>
  </si>
  <si>
    <t>Các yêu cầu có cung cấp đủ cơ sở cho thiết kế không?</t>
  </si>
  <si>
    <t>Có thể thực hiện được tất cả các yêu cầu với các ràng buộc đã ghi nhận không?</t>
  </si>
  <si>
    <t>Có xác định các thuật toán của use case không?</t>
  </si>
  <si>
    <t>Chưa có mô tả chi tiết thuật toán cho usecase</t>
  </si>
  <si>
    <t>Mỗi yêu cầu đều có thể kiểm tra được bằng 1 trong các biện pháp sau: test, demonstration, review hoặc phân tích không?</t>
  </si>
  <si>
    <t>Các thông báo lỗi cần thiết đều duy nhất và rõ nghĩa?</t>
  </si>
  <si>
    <t>Mỗi yêu cầu chức năng phần mềm có tương ứng với 1 yêu cầu ở mức cao hơn không? (ví dụ: mức cao hơn có thể là yêu cầu của hệ thống hoặc use case không?)</t>
  </si>
  <si>
    <t>Các yêu cầu phi chức năng, các yêu cầu đặc biệt của người dùng</t>
  </si>
  <si>
    <t>Các yêu cầu về bảo mật và an toàn có được xác định không?</t>
  </si>
  <si>
    <t>Loại bảo mật nào được yêu cầu?</t>
  </si>
  <si>
    <t>Có xác định các yêu cầu về sao lưu dữ liệu không?</t>
  </si>
  <si>
    <t>Tài liệu hiện chưa đề cập đến yêu cầu sao lưu dữ liệu</t>
  </si>
  <si>
    <t>Có xác định các yêu cầu về tính sử dụng (usability) của hệ thống không?</t>
  </si>
  <si>
    <t>Có xác định các yêu cầu về tính ổn định (stability) của hệ thống không?</t>
  </si>
  <si>
    <t>Các yêu cầu về performance (hiệu năng) có được xác định không?</t>
  </si>
  <si>
    <t>Lưu lượng giao dịch và qui mô của dữ liệu có được chỉ rõ trong tài liệu không?</t>
  </si>
  <si>
    <t>Có xác định các yêu cầu về tính hỗ trợ của hệ thống không?</t>
  </si>
  <si>
    <t>Có mô tả các yêu cầu về công nghệ và các ràng buộc đối với thiết kế không?</t>
  </si>
  <si>
    <t>Có xác định các yêu cầu giao tiếp của hệ thống không?</t>
  </si>
  <si>
    <t>Giao tiếp người dùng (GUI)?</t>
  </si>
  <si>
    <t>Giao tiếp phần cứng?</t>
  </si>
  <si>
    <t>Giao tiếp phần mềm bao gồm:</t>
  </si>
  <si>
    <t>Giao tiếp với các hệ thống phần mềm khác?</t>
  </si>
  <si>
    <t>Giao tiếp giữa các modul trong nội tại hệ thống?</t>
  </si>
  <si>
    <t>Giao tiếp truyền thông?</t>
  </si>
  <si>
    <t>Có xác định các yêu cầu về tài liệu người dùng và hỗ trợ trực tuyến không?</t>
  </si>
  <si>
    <t>Hệ thống có sử dụng các thành phần mua ngoài không?</t>
  </si>
  <si>
    <t>Hiện chưa đề cập đến trong tài liệu</t>
  </si>
  <si>
    <t>Nếu có, có được mô tả đầy đủ trong tài liệu không?</t>
  </si>
  <si>
    <t>Các yêu cầu pháp lý, bản quyền không?</t>
  </si>
  <si>
    <t>Hệ thống có áp dụng các tiêu chuẩn nào khác ngoài các tiêu chuẩn thuộc phạm vi dự án không?</t>
  </si>
  <si>
    <t>&lt;Có thể thêm vào checklist các quan tâm khác nếu cần thiết&gt;</t>
  </si>
  <si>
    <t>* Nhận xét</t>
  </si>
  <si>
    <t>Tài liệu SRS phiên bản v1.0 đã đáp ứng phần lớn các tiêu chí kiểm soát và nội dung bắt buộc theo checklist. Các mục về kiểm soát tài liệu, phạm vi, mục đích, chức năng, phân nhóm chức năng, mô tả nghiệp vụ, yêu cầu phi chức năng, giao diện, bảo mật, hiệu năng, và các ràng buộc kỹ thuật đều được trình bày đầy đủ, rõ ràng. Tài liệu có mô hình phân rã chức năng, mô tả đặc điểm người dùng, và các yêu cầu về giao tiếp, hỗ trợ, tiêu chuẩn áp dụng đã được xác định.</t>
  </si>
  <si>
    <t>* Đề xuất</t>
  </si>
  <si>
    <t>- Bổ sung thông tin tên công ty và logo vào trang tiêu đề để hoàn thiện kiểm soát tài liệu.
 - Thêm trường “độ ưu tiên” cho từng yêu cầu chức năng để hỗ trợ lập kế hoạch phát triển và kiểm thử.
 - Bổ sung mục tiêu chí nghiệm thu cho từng chức năng nhằm phục vụ công tác nghiệm thu và kiểm thử.
 - Đánh dấu hoặc chú thích rõ các yêu cầu còn thiếu thông tin để dễ dàng hoàn thiện ở các vòng review tiếp theo.
 - Mô tả chi tiết thuật toán hoặc logic xử lý cho các use case phức tạp (ví dụ: random câu hỏi, chấm điểm tự động).
 - Bổ sung yêu cầu về sao lưu dữ liệu, đặc biệt với các hệ thống lưu trữ thông tin học tập, kết quả người dùng.
 - Nếu hệ thống có sử dụng thành phần mua ngoài, cần mô tả rõ và bổ sung các yêu cầu pháp lý, bản quyền liên quan.
 - Nếu có tích hợp phần cứng hoặc giao tiếp phần cứng, cần bổ sung mô tả chi tiết.
 - Khi tài liệu nâng cấp lên phiên bản mới, cần đảm bảo bảng ghi nhận thay đổi được cập nhật đầy đủ, chính xác.</t>
  </si>
  <si>
    <t>[ x ] - Đạt</t>
  </si>
  <si>
    <t>[ ] - Xem xét lại</t>
  </si>
  <si>
    <t>[ ] - Khác</t>
  </si>
  <si>
    <t>Tài liệu đã đáp ứng tốt các tiêu chí cơ bản và phần lớn nội dung bắt buộc. Các điểm còn thiếu đều mang tính bổ sung, không ảnh hưởng tới tính đầy đủ và khả năng sử dụng của tài liệu ở giai đoạn hiện tại, nhưng cần hoàn thiện ở các phiên bản tiếp theo để đảm bảo chất lượng và khả năng kiểm thử, nghiệm thu.</t>
  </si>
  <si>
    <t>Chức năng: - Module Thanh toán và xử lí hóa đơn</t>
  </si>
  <si>
    <t>Đề tài:</t>
  </si>
  <si>
    <t>Số lượng Pass/Fail/NA:</t>
  </si>
  <si>
    <t>43/4/7</t>
  </si>
  <si>
    <t>Ưu điểm</t>
  </si>
  <si>
    <t>Module được xây dựng theo kiến trúc chuẩn Node.js MVC (Controller – Service – Model) giúp tách biệt rõ ràng tầng xử lý logic và dễ bảo trì.
Quy ước đặt tên class, biến và hàm API (như BookingController, PaymentService) rất rõ ràng, thống nhất.
Code được format đồng nhất, dễ đọc, dễ theo dõi luồng xử lý giao dịch tài chính.
Có xử lý exception (try-catch) sâu và độc lập tại service layer khi gọi đến VNPay hoặc cấp phát vé, đảm bảo hệ thống không bị crash dây chuyền.
Áp dụng thành công Database Locking (lockForUpdate) giải quyết triệt để rủi ro Overbooking khi nhiều người mua cùng lúc.
Xử lý sai số tiền tệ chuẩn xác thông qua các biểu thức toán học kết hợp Math.round().
Không tồn tại cấu trúc điều kiện lồng nhau quá sâu nhờ sử dụng Guard Clauses → đảm bảo khả năng đọc và maintain code.</t>
  </si>
  <si>
    <t>Nhược điểm</t>
  </si>
  <si>
    <t>Một số đoạn code xử lý luồng tạo Order dài nhưng comment còn thưa thớt, có thể gây khó khăn cho dev mới khi bảo trì.
Tồn tại code thừa như các đoạn comment-out chưa được dọn dẹp hoặc lệnh in console.log debug.
Xử lý truy vấn tạo vé (Ticket.create) bị đặt trong vòng lặp for, có khả năng gây giảm hiệu năng khi khách hàng mua số lượng lớn vé (chưa dùng bulkCreate).
Một số giá trị nghiệp vụ (như trạng thái đơn hàng 'pending', 'confirmed', 'completed') đang được hard-code trực tiếp trong source code thay vì sử dụng Enum tập trung, dễ sinh lỗi đánh máy khi nâng cấp.
Dữ liệu truy xuất Tour được gọi trực tiếp từ DB quá nhiều lần trong một luồng Booking, chưa có hệ thống Caching (như Redis) để giảm tải.</t>
  </si>
  <si>
    <t>Nhận xét chung</t>
  </si>
  <si>
    <t>Các lỗi phát hiện chủ yếu thuộc nhóm code quality và tối ưu hiệu suất truy vấn (như vòng lặp tạo vé, hard-code chuỗi), hoàn toàn không ghi nhận lỗi logic nghiêm trọng nào ảnh hưởng đến an toàn giao dịch tiền tệ hay rò rỉ bộ nhớ. Nếu cải thiện các vấn đề về sử dụng Enum tập trung, làm sạch code thừa, và tối ưu truy vấn Database (bulkCreate), module Thanh toán &amp; Booking này hoàn toàn đạt mức độ hoàn thiện cao nhất để triển khai trong môi trường production thực tế.</t>
  </si>
  <si>
    <t>Mục</t>
  </si>
  <si>
    <t>Pass/Fail/NA</t>
  </si>
  <si>
    <t>Đã tuân thủ hướng dẫn lập trình được chỉ định trong kế hoạch dự án chưa?</t>
  </si>
  <si>
    <t>Comment trong code có đủ không?</t>
  </si>
  <si>
    <t>Các quy ước đặt tên có tuân thủ kế hoạch quản lý cấu hình không?</t>
  </si>
  <si>
    <t>Code có được định dạng đúng cách không?</t>
  </si>
  <si>
    <t>Có một tập hợp chung các quy trình đã được viết mà không tái tạo các quy trình này trong các chương trình khác nhau không?</t>
  </si>
  <si>
    <t>Có code rác hay thừa không?</t>
  </si>
  <si>
    <t>Tồn tại method await Tour.update(...) trong bookingService.ts không được sử dụng</t>
  </si>
  <si>
    <t>Có bất kỳ nhãn nào không được tham chiếu không?</t>
  </si>
  <si>
    <t>Các con trỏ đã được thiết lập thành NULL nếu cần thiết không?</t>
  </si>
  <si>
    <t>TypeScript không sử dụng con trỏ thủ công</t>
  </si>
  <si>
    <t>Phép tính con trỏ có dẫn đến việc trỏ tới bộ nhớ nằm ngoài phạm vi không?</t>
  </si>
  <si>
    <t>JavaScript/TypeScript không hỗ trợ các phép toán cộng trừ trực tiếp trên địa chỉ bộ nhớ</t>
  </si>
  <si>
    <t>Tất cả các chỉ số mảng có nằm trong giới hạn không?</t>
  </si>
  <si>
    <t>Tất cả các chỉ số mảng đã được khởi tạo đúng hay chưa?</t>
  </si>
  <si>
    <t>Tất cả các điều kiện rẽ nhánh đã chính xác chưa?</t>
  </si>
  <si>
    <t>Tất cả vòng lặp đã kết thúc chưa?</t>
  </si>
  <si>
    <t>Điều kiện để kết thúc một vòng lặp có thực tế không?</t>
  </si>
  <si>
    <t>Các mẫu số trong các phép chia đã được kiểm tra để đảm bảo không bằng không trước khi thực hiện phép chia chưa?</t>
  </si>
  <si>
    <t>Có thể đặt bất kỳ câu lệnh nào được đặt bên trong một vòng lặp ra bên ngoài vòng lặp không?</t>
  </si>
  <si>
    <t>Trong createTicketsForOrder đang chạy Ticket.create bên trong vòng lặp</t>
  </si>
  <si>
    <t>Có bất kỳ phần nào trong mã nguồn mà luồng thực thi không bao giờ đạt tới không?</t>
  </si>
  <si>
    <t>Có các câu lệnh "if" lồng nhau với hơn ba cấp không?</t>
  </si>
  <si>
    <t>Các tham số giao diện thực tế và hình thức có khớp nhau không?</t>
  </si>
  <si>
    <t>Có bất kỳ biến nào đã được khai báo nhưng không sử dụng không?</t>
  </si>
  <si>
    <t>Bộ nhớ có được khởi tạo đúng không?</t>
  </si>
  <si>
    <t>V8 Engine tự động cấp phát không gian trên RAM khi biến được khai báo</t>
  </si>
  <si>
    <t>Bộ nhớ động đã được giải phóng ở tất cả các điểm thoát không?</t>
  </si>
  <si>
    <t>Không quản lý bộ nhớ thủ công</t>
  </si>
  <si>
    <t>Các truy vấn trên bảng có bắt buộc sử dụng các chỉ mục không?</t>
  </si>
  <si>
    <t>Trạng thái lỗi được kiểm tra sau mỗi câu lệnh SQL có cấu trúc không?</t>
  </si>
  <si>
    <t>Trước khi cập nhật, việc khóa được thực hiện khi cần thiết không?</t>
  </si>
  <si>
    <t>Các điều kiện sau đã được kiểm tra trong các biểu thức không:</t>
  </si>
  <si>
    <t>a. Làm tròn?</t>
  </si>
  <si>
    <t>b. Khả năng chia cho 0?</t>
  </si>
  <si>
    <t>Yêu cầu về thời gian phản hồi có được đáp ứng không?</t>
  </si>
  <si>
    <t>Có phương án tốt hơn nào để cải thiện thời gian phản hồi không?</t>
  </si>
  <si>
    <t>Xem xét Redis để cache dữ liệu Tour thay vì mỗi lần tạo Booking phải query Tour</t>
  </si>
  <si>
    <t>Các kiểm tra sau đã được thực hiện chưa:</t>
  </si>
  <si>
    <t>a. Kiểm tra bảng hoặc file trống?</t>
  </si>
  <si>
    <t>b. Kiểm tra các lỗi vào ra?</t>
  </si>
  <si>
    <t>Thông báo lỗi có rõ ràng không? Các thông báo lỗi có đủ không?</t>
  </si>
  <si>
    <t>Tất cả các điều kiện lỗi đã được bắt và xử lý chưa?</t>
  </si>
  <si>
    <t>Trong biểu thức toán học, đã được xử lý những điều sau chưa:</t>
  </si>
  <si>
    <t>a. Thứ tự xử lý có mơ hồ không?</t>
  </si>
  <si>
    <t>b. Có cần cuộn ngang để đọc toàn bộ biểu thức không?</t>
  </si>
  <si>
    <t>không có biểu thức dài</t>
  </si>
  <si>
    <t>c. Tất cả dấu ngoặc có được đóng đúng không? Chúng đảm bảo thứ tự xử lý đúng không?</t>
  </si>
  <si>
    <t>d. Việc làm tròn được thực hiện cùng với biểu thức không?</t>
  </si>
  <si>
    <t>e. Phép chia có kết hợp với biểu thức khác không?</t>
  </si>
  <si>
    <t>f. Có biểu thức nào sử dụng trường bảng hoặc trường tệp trực tiếp trong biểu thức không?</t>
  </si>
  <si>
    <t>Trong các biểu thức quan hệ, đã được xử lý các vấn đề sau:</t>
  </si>
  <si>
    <t>a. Các so sánh đã đảm bảo giữa cùng loại dữ liệu chưa?</t>
  </si>
  <si>
    <t>b. Có thể có hơn hai kết quả cho bất kỳ biểu thức nào không?</t>
  </si>
  <si>
    <t>c. Biểu thức có phục vụ mục đích mà nó được sử dụng không?</t>
  </si>
  <si>
    <t>d. Có cần cuộn ngang để đọc toàn bộ biểu thức không?</t>
  </si>
  <si>
    <t>Không có biểu thức dài</t>
  </si>
  <si>
    <t>Trong các biểu thức logic, đã được xử lý các vấn đề sau:</t>
  </si>
  <si>
    <t>a. Có phục vụ mục đích mà biểu thức logic được sử dụng không?</t>
  </si>
  <si>
    <t>b. Có biểu thức quan hệ được sử dụng có kết quả là true hoặc false không?</t>
  </si>
  <si>
    <t>c. Mỗi biểu thức quan hệ có nằm trong một cặp dấu ngoặc không?</t>
  </si>
  <si>
    <t>d. Tại bất kỳ thời điểm nào, chỉ có hai biểu thức quan hệ được so sánh không?</t>
  </si>
  <si>
    <t>e. Có cần cuộn ngang để đọc toàn bộ biểu thức không?</t>
  </si>
  <si>
    <t>Trong các hoạt động với file và bảng, đã được xử lý các vấn đề sau:</t>
  </si>
  <si>
    <t>a. Có bất kỳ file hoặc bảng nào được mở sớm hơn khi chúng được yêu cầu không?</t>
  </si>
  <si>
    <t>b. Có bất kỳ file hoặc bảng nào bị để mở khi các hoạt động hoàn thành không?</t>
  </si>
  <si>
    <t>Trong khai báo biến, đã được xử lý các vấn đề sau:</t>
  </si>
  <si>
    <t>a. Tất cả các biến được khai báo là biến toàn cục (global) hoặc tĩnh (static) có thực sự cần phải là biến toàn cục hoặc tĩnh không?</t>
  </si>
  <si>
    <t>b. Có bất kỳ khai báo biến không cần thiết nào không?</t>
  </si>
  <si>
    <t>c. Có bất kỳ tên biến nào xung đột với từ khóa của ngôn ngữ lập trình đang được sử dụng không?</t>
  </si>
  <si>
    <t>d. Có bất kỳ mã cứng (hard code) nào trong mã nguồn không?</t>
  </si>
  <si>
    <t>Trong file đang sử dụng mã cứng như trạng thái status: 'pending', status: 'confirmed'</t>
  </si>
  <si>
    <t>Mã testcase</t>
  </si>
  <si>
    <t>Lớp điều khiển</t>
  </si>
  <si>
    <t>Phương thức</t>
  </si>
  <si>
    <t>Trường hợp test</t>
  </si>
  <si>
    <t>Mục tiêu test</t>
  </si>
  <si>
    <t>Pass/Fail</t>
  </si>
  <si>
    <t>Màn hình kết quả chạy</t>
  </si>
  <si>
    <t>TTHD_01</t>
  </si>
  <si>
    <t>BookingController</t>
  </si>
  <si>
    <t>createBooking</t>
  </si>
  <si>
    <t>Thiếu token xác thực</t>
  </si>
  <si>
    <t>Bảo mật API (Authorization)</t>
  </si>
  <si>
    <t>Gọi API không có Headers Auth</t>
  </si>
  <si>
    <t>HTTP 401, Message: "Unauthorized"</t>
  </si>
  <si>
    <t>Chặn thao tác của khách vãng lai</t>
  </si>
  <si>
    <t>PASS</t>
  </si>
  <si>
    <t>TTHD_02</t>
  </si>
  <si>
    <t>Thiếu tham số tour_id</t>
  </si>
  <si>
    <t>Validate dữ liệu đầu vào</t>
  </si>
  <si>
    <t>req.body = { quantity: 2 }</t>
  </si>
  <si>
    <t>HTTP 400, "ID tour là bắt buộc"</t>
  </si>
  <si>
    <t>Tránh lỗi Null Pointer ở Service</t>
  </si>
  <si>
    <t>TTHD_03</t>
  </si>
  <si>
    <t>quantity là số âm/thập phân</t>
  </si>
  <si>
    <t>Chặn nhập liệu ảo để phá hệ thống</t>
  </si>
  <si>
    <t>quantity: -5 hoặc 1.5</t>
  </si>
  <si>
    <t>HTTP 400, "Số lượng không hợp lệ"</t>
  </si>
  <si>
    <t>TTHD_04</t>
  </si>
  <si>
    <t>Dữ liệu hoàn toàn hợp lệ</t>
  </si>
  <si>
    <t>Kiểm tra tạo đơn thành công</t>
  </si>
  <si>
    <t>tour_id: 1, quantity: 2, Auth hợp lệ</t>
  </si>
  <si>
    <t>HTTP 201, Trả về Object Order và URL thanh toán</t>
  </si>
  <si>
    <t>TTHD_05</t>
  </si>
  <si>
    <t>getMyBookings</t>
  </si>
  <si>
    <t>Xem danh sách trống</t>
  </si>
  <si>
    <t>Xử lý mảng rỗng an toàn</t>
  </si>
  <si>
    <t>User mới tạo, chưa có đơn nào</t>
  </si>
  <si>
    <t>Trả HTTP 200, mảng bookings: [], total: 0</t>
  </si>
  <si>
    <t>TTHD_06</t>
  </si>
  <si>
    <t>Phân trang hợp lệ</t>
  </si>
  <si>
    <t>Kiểm tra Pagination</t>
  </si>
  <si>
    <t>page = 2, limit = 5</t>
  </si>
  <si>
    <t>Trả đúng 5 record ở trang số 2</t>
  </si>
  <si>
    <t>TTHD_07</t>
  </si>
  <si>
    <t>Lọc theo trạng thái hợp lệ</t>
  </si>
  <si>
    <t>Kiểm tra bộ lọc booking_status</t>
  </si>
  <si>
    <t>?booking_status=confirmed</t>
  </si>
  <si>
    <t>Trả về danh sách chỉ chứa đơn confirmed</t>
  </si>
  <si>
    <t>TTHD_08</t>
  </si>
  <si>
    <t>getAllBookings</t>
  </si>
  <si>
    <t>Lọc theo thời gian (Admin)</t>
  </si>
  <si>
    <t>Lọc xuất báo cáo doanh thu</t>
  </si>
  <si>
    <t>start_date=2024-01-01, end_date=...</t>
  </si>
  <si>
    <t>Danh sách đơn hàng tạo trong khoảng thời gian</t>
  </si>
  <si>
    <t>TTHD_09</t>
  </si>
  <si>
    <t>getBookingById</t>
  </si>
  <si>
    <t>User xem Order của người khác</t>
  </si>
  <si>
    <t>Kiểm tra phân quyền truy cập chéo</t>
  </si>
  <si>
    <t>User A xem Order ID của User B</t>
  </si>
  <si>
    <t>HTTP 403 hoặc Error "Bạn không có quyền xem"</t>
  </si>
  <si>
    <t>Bảo mật dữ liệu cá nhân</t>
  </si>
  <si>
    <t>cancelBooking</t>
  </si>
  <si>
    <t>Khách thường gọi API hủy</t>
  </si>
  <si>
    <t>Kiểm tra quyền (Authorization)</t>
  </si>
  <si>
    <t>Gọi từ Account user</t>
  </si>
  <si>
    <t>Throw Error "Chỉ admin tổng mới có quyền hủy"</t>
  </si>
  <si>
    <t>Ràng buộc Role chặt chẽ</t>
  </si>
  <si>
    <t>BookingService</t>
  </si>
  <si>
    <t>Coupon hết hạn/hết lượt</t>
  </si>
  <si>
    <t>Kiểm tra mã giảm giá</t>
  </si>
  <si>
    <t>coupon_id = 1 (max_use = 0)</t>
  </si>
  <si>
    <t>Throw Error "Mã giảm giá đã hết lượt sử dụng"</t>
  </si>
  <si>
    <t>Tổng tiền &lt; 10.000 VNĐ</t>
  </si>
  <si>
    <t>Ràng buộc mức tối thiểu cổng VNPay</t>
  </si>
  <si>
    <t>totalPrice = 5000</t>
  </si>
  <si>
    <t>Throw Error "Tổng tiền phải tối thiểu 10.000 VND"</t>
  </si>
  <si>
    <t>VNPay chặn giao dịch &lt; 10k</t>
  </si>
  <si>
    <t>Đặt tour sát ngày ( &lt; 2 ngày)</t>
  </si>
  <si>
    <t>Chặn đặt tour gấp không kịp sắp xếp Guide</t>
  </si>
  <si>
    <t>start_date cách hôm nay &lt; 2 ngày</t>
  </si>
  <si>
    <t>Throw Error "Vui lòng đặt tour trước ít nhất 2 ngày"</t>
  </si>
  <si>
    <t>Tránh khủng hoảng vận hành</t>
  </si>
  <si>
    <t>Mua lố số lượng vé (Overbooking)</t>
  </si>
  <si>
    <t>Ngăn chặn quá tải sức chứa của Tour</t>
  </si>
  <si>
    <t>quantity = 5, remainingSlots = 2</t>
  </si>
  <si>
    <t>Throw Error "Số lượng vé còn lại chỉ còn 2"</t>
  </si>
  <si>
    <t>Dùng lockForUpdate DB</t>
  </si>
  <si>
    <t>Coupon max_use chạm mốc 0</t>
  </si>
  <si>
    <t>Đảm bảo Coupon bị tự động Tắt</t>
  </si>
  <si>
    <t>Order thành công, max_use trừ về 0</t>
  </si>
  <si>
    <t>Update DB Coupon: max_use=0, is_active=false</t>
  </si>
  <si>
    <t>Xử lý race-condition tốt</t>
  </si>
  <si>
    <t>Trùng mã Order Code</t>
  </si>
  <si>
    <t>Kiểm tra cơ chế tự phục hồi (Self-healing)</t>
  </si>
  <si>
    <t>Giả lập lỗi SequelizeUniqueConstraint</t>
  </si>
  <si>
    <t>Rollback, khởi tạo lại vòng lặp 1 lần duy nhất</t>
  </si>
  <si>
    <t>Đảm bảo UX trơn tru</t>
  </si>
  <si>
    <t>getUserBookings</t>
  </si>
  <si>
    <t>Lọc Text-Search (mã tour/đơn)</t>
  </si>
  <si>
    <t>Tìm kiếm linh hoạt đa trường</t>
  </si>
  <si>
    <t>search = 'TOUR2024'</t>
  </si>
  <si>
    <t>Mảng bookings khớp order_code hoặc tour_code</t>
  </si>
  <si>
    <t>Build điều kiện OR phức tạp</t>
  </si>
  <si>
    <t>Sắp xếp (Sorting)</t>
  </si>
  <si>
    <t>Admin sắp xếp theo tổng tiền</t>
  </si>
  <si>
    <t>total = 'DESC'</t>
  </si>
  <si>
    <t>Danh sách giảm dần theo total_price</t>
  </si>
  <si>
    <t>Dùng mảng order: [['total_price', 'DESC']]</t>
  </si>
  <si>
    <t>Đơn hàng không tồn tại</t>
  </si>
  <si>
    <t>Xử lý 404</t>
  </si>
  <si>
    <t>ID đơn không có trong DB</t>
  </si>
  <si>
    <t>Throw Error "Booking không tồn tại"</t>
  </si>
  <si>
    <t>Đơn đã hủy gọi hủy tiếp</t>
  </si>
  <si>
    <t>Tránh lặp thao tác</t>
  </si>
  <si>
    <t>Trạng thái hiện tại: cancelled</t>
  </si>
  <si>
    <t>Throw Error "Booking đã được hủy trước đó"</t>
  </si>
  <si>
    <t>Đơn đã hoàn thành (completed)</t>
  </si>
  <si>
    <t>Không cho phép hủy lịch sử</t>
  </si>
  <si>
    <t>Trạng thái: completed</t>
  </si>
  <si>
    <t>Throw Error "Không thể hủy booking đã hoàn thành"</t>
  </si>
  <si>
    <t>Hủy đơn thành công (Hành động)</t>
  </si>
  <si>
    <t>Kiểm tra toàn vẹn Rollback hệ thống</t>
  </si>
  <si>
    <t>Gọi hủy từ Admin</t>
  </si>
  <si>
    <t>Order -&gt; cancelled, Giải phóng capacity, Hủy Tickets</t>
  </si>
  <si>
    <t>Cực kỳ phức tạp</t>
  </si>
  <si>
    <t>Giải phóng Hướng dẫn viên</t>
  </si>
  <si>
    <t>Xóa Guide khỏi lịch Tour nếu không còn khách</t>
  </si>
  <si>
    <t>Hủy order cuối cùng của Tour đó</t>
  </si>
  <si>
    <t>Guide bị xóa khỏi tour_guides cho Tour tương ứng</t>
  </si>
  <si>
    <t>Logic xử lý rất tinh tế</t>
  </si>
  <si>
    <t>refundCouponForOrder</t>
  </si>
  <si>
    <t>Hoàn mã giảm giá khi hủy đơn</t>
  </si>
  <si>
    <t>Trả lại Coupon cho khách</t>
  </si>
  <si>
    <t>Hủy Order đã dùng Coupon ID 5</t>
  </si>
  <si>
    <t>Bảng used_coupons xóa record, Coupon +1 max_use</t>
  </si>
  <si>
    <t>Private helper</t>
  </si>
  <si>
    <t>confirmBooking</t>
  </si>
  <si>
    <t>Admin xác nhận thủ công</t>
  </si>
  <si>
    <t>Thay đổi trạng thái sang Confirmed</t>
  </si>
  <si>
    <t>Gọi API confirm</t>
  </si>
  <si>
    <t>Update DB status = 'confirmed'</t>
  </si>
  <si>
    <t>updatePaymentStatus</t>
  </si>
  <si>
    <t>Admin đổi trạng thái tiền thủ công</t>
  </si>
  <si>
    <t>Cho phép thu tiền mặt</t>
  </si>
  <si>
    <t>Gọi API đổi is_paid = true</t>
  </si>
  <si>
    <t>Update DB is_paid = true</t>
  </si>
  <si>
    <t>Admin Bypass thanh toán</t>
  </si>
  <si>
    <t>completeBooking</t>
  </si>
  <si>
    <t>Đóng đơn hàng</t>
  </si>
  <si>
    <t>Chuyển trạng thái khi Tour kết thúc</t>
  </si>
  <si>
    <t>Gọi API complete</t>
  </si>
  <si>
    <t>Update DB status = 'completed'</t>
  </si>
  <si>
    <t>getTotalCompletedOrders</t>
  </si>
  <si>
    <t>Thống kê (Dashboard)</t>
  </si>
  <si>
    <t>Đếm số lượng đơn hoàn thành</t>
  </si>
  <si>
    <t>Gọi API đếm tổng</t>
  </si>
  <si>
    <t>Trả về object { total_completed_orders: N }</t>
  </si>
  <si>
    <t>cancelExpiredPendingBookings</t>
  </si>
  <si>
    <t>CRON JOB: Hủy đơn treo</t>
  </si>
  <si>
    <t>Tự động dọn dẹp hệ thống (Background job)</t>
  </si>
  <si>
    <t>Đơn hàng pending &amp; is_paid=false quá 16h41m</t>
  </si>
  <si>
    <t>Trạng thái -&gt; cancelled, giải phóng Slot Tour</t>
  </si>
  <si>
    <t>Chạy mỗi phút trên Server</t>
  </si>
  <si>
    <t>hardDeleteOrder</t>
  </si>
  <si>
    <t>Xóa vĩnh viễn (Hard Delete)</t>
  </si>
  <si>
    <t>Ràng buộc chỉ dành cho Developer/SuperAdmin</t>
  </si>
  <si>
    <t>Gọi API hard delete</t>
  </si>
  <si>
    <t>Đơn hàng biến mất khỏi CSDL</t>
  </si>
  <si>
    <t>PaymentController</t>
  </si>
  <si>
    <t>handleVNPayReturn</t>
  </si>
  <si>
    <t>Khách thanh toán thất bại (UI)</t>
  </si>
  <si>
    <t>Chuyển hướng khi không nộp tiền</t>
  </si>
  <si>
    <t>query vnp_ResponseCode = 24</t>
  </si>
  <si>
    <t>Redirect về /payment/result?status=failed</t>
  </si>
  <si>
    <t>handleVNPayIPN</t>
  </si>
  <si>
    <t>Chữ ký IPN không hợp lệ</t>
  </si>
  <si>
    <t>Tránh Webhook giả mạo</t>
  </si>
  <si>
    <t>query với chữ ký sai</t>
  </si>
  <si>
    <t>HTTP 200, { RspCode: '97' }</t>
  </si>
  <si>
    <t>VNPay yêu cầu luôn trả 200</t>
  </si>
  <si>
    <t>Hacker sửa tiền trên IPN</t>
  </si>
  <si>
    <t>Xác minh số tiền khớp tuyệt đối CSDL</t>
  </si>
  <si>
    <t>vnp_Amount=100, CSDL báo giá 500</t>
  </si>
  <si>
    <t>HTTP 200, { RspCode: '04', Message: 'Invalid amount' }</t>
  </si>
  <si>
    <t>Dùng Math.round()</t>
  </si>
  <si>
    <t>IPN trùng lặp</t>
  </si>
  <si>
    <t>Chống cộng tiền 2 lần cho 1 đơn</t>
  </si>
  <si>
    <t>Order đã có is_paid = true</t>
  </si>
  <si>
    <t>HTTP 200, { RspCode: '02' }</t>
  </si>
  <si>
    <t>PaymentService</t>
  </si>
  <si>
    <t>createPayment</t>
  </si>
  <si>
    <t>Sinh link VNPay chuẩn hóa</t>
  </si>
  <si>
    <t>Kiểm tra tham số Amount, TxnRef</t>
  </si>
  <si>
    <t>orderId=1, amount=500000</t>
  </si>
  <si>
    <t>Trả URL chứa vnp_Amount=50000000</t>
  </si>
  <si>
    <t>Tiền VNPay x100 (phân)</t>
  </si>
  <si>
    <t>verifySignature</t>
  </si>
  <si>
    <t>Chữ ký bị can thiệp (Hash sai)</t>
  </si>
  <si>
    <t>Ngăn Hacker sửa URL thanh toán</t>
  </si>
  <si>
    <t>Đổi vnp_Amount nhưng giữ nguyên SecureHash</t>
  </si>
  <si>
    <t>Trả về false</t>
  </si>
  <si>
    <t>Dùng thuật toán hmacSHA512</t>
  </si>
  <si>
    <t>updateOrderPaymentStatus</t>
  </si>
  <si>
    <t>IPN thành công (00) -&gt; Tạo vé</t>
  </si>
  <si>
    <t>Hệ thống cấp phát vé</t>
  </si>
  <si>
    <t>quantity = 3</t>
  </si>
  <si>
    <t>Bảng Ticket insert 3 dòng</t>
  </si>
  <si>
    <t>Khớp số lượng</t>
  </si>
  <si>
    <t>Gửi Email LỖI (Sập mạng)</t>
  </si>
  <si>
    <t>Chống sập luồng do API ngoài</t>
  </si>
  <si>
    <t>Mock hàm sendEmail văng Exception</t>
  </si>
  <si>
    <t>Luồng thanh toán ko sập, trạng thái vẫn confirmed</t>
  </si>
  <si>
    <t>Bọc Try/Catch độc lập</t>
  </si>
  <si>
    <t>Tự động phân công Guide</t>
  </si>
  <si>
    <t>Kiểm tra logic gán HDV sau khi thu tiền</t>
  </si>
  <si>
    <t>Thanh toán xong</t>
  </si>
  <si>
    <t>Cập nhật Order guide_id = X, log "Đã phân công..."</t>
  </si>
  <si>
    <t>Đồng bộ DB tốt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</si>
</sst>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quot;/&quot;mm&quot;/&quot;yyyy"/>
  </numFmts>
  <fonts count="31">
    <font>
      <sz val="10.0"/>
      <color rgb="FF000000"/>
      <name val="Arial"/>
      <scheme val="minor"/>
    </font>
    <font>
      <b/>
      <sz val="14.0"/>
      <color rgb="FF000000"/>
      <name val="Times New Roman"/>
    </font>
    <font/>
    <font>
      <sz val="14.0"/>
      <color theme="1"/>
      <name val="Times New Roman"/>
    </font>
    <font>
      <sz val="10.0"/>
      <color theme="1"/>
      <name val="Arial"/>
    </font>
    <font>
      <b/>
      <sz val="14.0"/>
      <color theme="1"/>
      <name val="Times New Roman"/>
    </font>
    <font>
      <color theme="1"/>
      <name val="Arial"/>
    </font>
    <font>
      <b/>
      <i/>
      <sz val="14.0"/>
      <color rgb="FF000000"/>
      <name val="Times New Roman"/>
    </font>
    <font>
      <b/>
      <i/>
      <sz val="14.0"/>
      <color theme="1"/>
      <name val="Times New Roman"/>
    </font>
    <font>
      <b/>
      <sz val="16.0"/>
      <color rgb="FFFFFFFF"/>
      <name val="Times New Roman"/>
    </font>
    <font>
      <b/>
      <sz val="15.0"/>
      <color theme="1"/>
      <name val="Times New Roman"/>
    </font>
    <font>
      <sz val="12.0"/>
      <color theme="1"/>
      <name val="Times New Roman"/>
    </font>
    <font>
      <b/>
      <sz val="13.0"/>
      <color theme="1"/>
      <name val="Times New Roman"/>
    </font>
    <font>
      <b/>
      <sz val="13.0"/>
      <color rgb="FFFFFFFF"/>
      <name val="Times New Roman"/>
    </font>
    <font>
      <sz val="13.0"/>
      <color theme="1"/>
      <name val="Times New Roman"/>
    </font>
    <font>
      <b/>
      <sz val="18.0"/>
      <color rgb="FF000080"/>
      <name val="Arial"/>
    </font>
    <font>
      <color rgb="FF000000"/>
      <name val="Arial"/>
    </font>
    <font>
      <color rgb="FF800000"/>
      <name val="Arial"/>
    </font>
    <font>
      <b/>
      <color rgb="FFFFFFFF"/>
      <name val="Arial"/>
    </font>
    <font>
      <b/>
      <color rgb="FF800000"/>
      <name val="Arial"/>
    </font>
    <font>
      <color rgb="FF0000FF"/>
      <name val="Arial"/>
    </font>
    <font>
      <color rgb="FFFF0000"/>
      <name val="Arial"/>
    </font>
    <font>
      <b/>
      <color rgb="FF000000"/>
      <name val="Arial"/>
    </font>
    <font>
      <i/>
      <color rgb="FF000000"/>
      <name val="Arial"/>
    </font>
    <font>
      <b/>
      <color rgb="FF000080"/>
      <name val="Arial"/>
    </font>
    <font>
      <b/>
      <color rgb="FF0000FF"/>
      <name val="Arial"/>
    </font>
    <font>
      <sz val="13.0"/>
      <color rgb="FF231F20"/>
      <name val="Times New Roman"/>
    </font>
    <font>
      <sz val="14.0"/>
      <color rgb="FF1F1F1F"/>
      <name val="Times New Roman"/>
    </font>
    <font>
      <sz val="11.0"/>
      <color theme="1"/>
      <name val="Arial"/>
      <scheme val="minor"/>
    </font>
    <font>
      <b/>
      <sz val="11.0"/>
      <color rgb="FF3B3B3B"/>
      <name val="Arial"/>
      <scheme val="minor"/>
    </font>
    <font>
      <sz val="11.0"/>
      <color rgb="FF3B3B3B"/>
      <name val="Arial"/>
      <scheme val="minor"/>
    </font>
  </fonts>
  <fills count="13">
    <fill>
      <patternFill patternType="none"/>
    </fill>
    <fill>
      <patternFill patternType="lightGray"/>
    </fill>
    <fill>
      <patternFill patternType="solid">
        <fgColor rgb="FFFFFFFF"/>
        <bgColor rgb="FFFFFFFF"/>
      </patternFill>
    </fill>
    <fill>
      <patternFill patternType="solid">
        <fgColor rgb="FF3D85C6"/>
        <bgColor rgb="FF3D85C6"/>
      </patternFill>
    </fill>
    <fill>
      <patternFill patternType="solid">
        <fgColor rgb="FFCFE2F3"/>
        <bgColor rgb="FFCFE2F3"/>
      </patternFill>
    </fill>
    <fill>
      <patternFill patternType="solid">
        <fgColor rgb="FFD9EAD3"/>
        <bgColor rgb="FFD9EAD3"/>
      </patternFill>
    </fill>
    <fill>
      <patternFill patternType="solid">
        <fgColor rgb="FFE06666"/>
        <bgColor rgb="FFE06666"/>
      </patternFill>
    </fill>
    <fill>
      <patternFill patternType="solid">
        <fgColor rgb="FFF4CCCC"/>
        <bgColor rgb="FFF4CCCC"/>
      </patternFill>
    </fill>
    <fill>
      <patternFill patternType="solid">
        <fgColor rgb="FF000080"/>
        <bgColor rgb="FF000080"/>
      </patternFill>
    </fill>
    <fill>
      <patternFill patternType="solid">
        <fgColor rgb="FFCCFFFF"/>
        <bgColor rgb="FFCCFFFF"/>
      </patternFill>
    </fill>
    <fill>
      <patternFill patternType="solid">
        <fgColor rgb="FFEAD1DC"/>
        <bgColor rgb="FFEAD1DC"/>
      </patternFill>
    </fill>
    <fill>
      <patternFill patternType="solid">
        <fgColor rgb="FF9FC5E8"/>
        <bgColor rgb="FF9FC5E8"/>
      </patternFill>
    </fill>
    <fill>
      <patternFill patternType="solid">
        <fgColor theme="0"/>
        <bgColor theme="0"/>
      </patternFill>
    </fill>
  </fills>
  <borders count="57">
    <border/>
    <border>
      <left style="thick">
        <color rgb="FF000080"/>
      </left>
      <top style="thick">
        <color rgb="FF000080"/>
      </top>
      <bottom style="thin">
        <color rgb="FFFFFFFF"/>
      </bottom>
    </border>
    <border>
      <top style="thick">
        <color rgb="FF000080"/>
      </top>
      <bottom style="thin">
        <color rgb="FFFFFFFF"/>
      </bottom>
    </border>
    <border>
      <right style="thick">
        <color rgb="FF000080"/>
      </right>
      <top style="thick">
        <color rgb="FF000080"/>
      </top>
      <bottom style="thin">
        <color rgb="FFFFFFFF"/>
      </bottom>
    </border>
    <border>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ck">
        <color rgb="FF000080"/>
      </left>
      <top style="thin">
        <color rgb="FFFFFFFF"/>
      </top>
      <bottom style="thin">
        <color rgb="FFFFFFFF"/>
      </bottom>
    </border>
    <border>
      <top style="thin">
        <color rgb="FFFFFFFF"/>
      </top>
      <bottom style="thin">
        <color rgb="FFFFFFFF"/>
      </bottom>
    </border>
    <border>
      <right style="thick">
        <color rgb="FF000080"/>
      </right>
      <top style="thin">
        <color rgb="FFFFFFFF"/>
      </top>
      <bottom style="thin">
        <color rgb="FFFFFFFF"/>
      </bottom>
    </border>
    <border>
      <left style="thick">
        <color rgb="FF000080"/>
      </left>
      <right style="thin">
        <color rgb="FFFFFFFF"/>
      </right>
      <top style="thin">
        <color rgb="FFFFFFFF"/>
      </top>
      <bottom style="thin">
        <color rgb="FFFFFFFF"/>
      </bottom>
    </border>
    <border>
      <left style="thin">
        <color rgb="FFFFFFFF"/>
      </left>
      <right style="thick">
        <color rgb="FF000080"/>
      </right>
      <top style="thin">
        <color rgb="FFFFFFFF"/>
      </top>
      <bottom style="thin">
        <color rgb="FFFFFFFF"/>
      </bottom>
    </border>
    <border>
      <left style="thin">
        <color rgb="FFFFFFFF"/>
      </left>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thin">
        <color rgb="FFFFFFFF"/>
      </top>
    </border>
    <border>
      <bottom style="thin">
        <color rgb="FFFFFFFF"/>
      </bottom>
    </border>
    <border>
      <left style="thick">
        <color rgb="FF000080"/>
      </left>
      <right style="thin">
        <color rgb="FFFFFFFF"/>
      </right>
      <top style="thin">
        <color rgb="FFFFFFFF"/>
      </top>
      <bottom style="thick">
        <color rgb="FF000080"/>
      </bottom>
    </border>
    <border>
      <left style="thin">
        <color rgb="FFFFFFFF"/>
      </left>
      <right style="thin">
        <color rgb="FFFFFFFF"/>
      </right>
      <top style="thin">
        <color rgb="FFFFFFFF"/>
      </top>
      <bottom style="thick">
        <color rgb="FF000080"/>
      </bottom>
    </border>
    <border>
      <left style="thin">
        <color rgb="FFFFFFFF"/>
      </left>
      <right style="thick">
        <color rgb="FF000080"/>
      </right>
      <top style="thin">
        <color rgb="FFFFFFFF"/>
      </top>
      <bottom style="thick">
        <color rgb="FF000080"/>
      </bottom>
    </border>
    <border>
      <left style="thin">
        <color rgb="FFFFFFFF"/>
      </left>
      <right style="thin">
        <color rgb="FFFFFFFF"/>
      </right>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80"/>
      </right>
    </border>
    <border>
      <left style="thin">
        <color rgb="FF000080"/>
      </left>
      <right style="thin">
        <color rgb="FF000080"/>
      </right>
      <top style="thin">
        <color rgb="FF000080"/>
      </top>
    </border>
    <border>
      <left style="thin">
        <color rgb="FF000080"/>
      </left>
      <right style="thin">
        <color rgb="FF000080"/>
      </right>
    </border>
    <border>
      <left style="thin">
        <color rgb="FF000080"/>
      </left>
      <right style="thin">
        <color rgb="FF000080"/>
      </right>
      <bottom style="thin">
        <color rgb="FF000080"/>
      </bottom>
    </border>
    <border>
      <bottom style="thin">
        <color rgb="FF000080"/>
      </bottom>
    </border>
    <border>
      <right style="thin">
        <color rgb="FF000080"/>
      </right>
      <bottom style="thin">
        <color rgb="FF000080"/>
      </bottom>
    </border>
    <border>
      <left style="thin">
        <color rgb="FF1C4587"/>
      </left>
      <top style="thin">
        <color rgb="FF1C4587"/>
      </top>
      <bottom style="thin">
        <color rgb="FF1C4587"/>
      </bottom>
    </border>
    <border>
      <top style="thin">
        <color rgb="FF1C4587"/>
      </top>
      <bottom style="thin">
        <color rgb="FF1C4587"/>
      </bottom>
    </border>
    <border>
      <right style="thin">
        <color rgb="FF1C4587"/>
      </right>
      <top style="thin">
        <color rgb="FF1C4587"/>
      </top>
      <bottom style="thin">
        <color rgb="FF1C4587"/>
      </bottom>
    </border>
    <border>
      <left style="thin">
        <color rgb="FF1C4587"/>
      </left>
      <top style="thin">
        <color rgb="FF1C4587"/>
      </top>
    </border>
    <border>
      <top style="thin">
        <color rgb="FF1C4587"/>
      </top>
    </border>
    <border>
      <right style="thin">
        <color rgb="FF1C4587"/>
      </right>
      <top style="thin">
        <color rgb="FF1C4587"/>
      </top>
    </border>
    <border>
      <left style="thin">
        <color rgb="FF1C4587"/>
      </left>
    </border>
    <border>
      <right style="thin">
        <color rgb="FF1C4587"/>
      </right>
    </border>
    <border>
      <left style="thin">
        <color rgb="FF1C4587"/>
      </left>
      <bottom style="thin">
        <color rgb="FF1C4587"/>
      </bottom>
    </border>
    <border>
      <bottom style="thin">
        <color rgb="FF1C4587"/>
      </bottom>
    </border>
    <border>
      <right style="thin">
        <color rgb="FF1C4587"/>
      </right>
      <bottom style="thin">
        <color rgb="FF1C4587"/>
      </bottom>
    </border>
    <border>
      <right style="thin">
        <color rgb="FF000000"/>
      </right>
    </border>
    <border>
      <left style="thin">
        <color rgb="FF6B7280"/>
      </left>
      <right style="thin">
        <color rgb="FF6B7280"/>
      </right>
      <top style="thin">
        <color rgb="FF6B7280"/>
      </top>
      <bottom style="thin">
        <color rgb="FF6B7280"/>
      </bottom>
    </border>
    <border>
      <left style="thin">
        <color rgb="FF6B7280"/>
      </left>
      <top style="thin">
        <color rgb="FF6B7280"/>
      </top>
      <bottom style="thin">
        <color rgb="FF6B7280"/>
      </bottom>
    </border>
    <border>
      <left style="thin">
        <color rgb="FF6B7280"/>
      </left>
      <right style="thin">
        <color rgb="FF6B7280"/>
      </right>
      <top style="thin">
        <color rgb="FF6B7280"/>
      </top>
    </border>
    <border>
      <left style="thin">
        <color rgb="FF6B7280"/>
      </left>
      <top style="thin">
        <color rgb="FF6B7280"/>
      </top>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2" fontId="3" numFmtId="0" xfId="0" applyAlignment="1" applyBorder="1" applyFill="1" applyFont="1">
      <alignment shrinkToFit="0" vertical="center" wrapText="1"/>
    </xf>
    <xf borderId="5" fillId="2" fontId="3" numFmtId="0" xfId="0" applyAlignment="1" applyBorder="1" applyFont="1">
      <alignment shrinkToFit="0" vertical="center" wrapText="1"/>
    </xf>
    <xf borderId="6" fillId="0" fontId="1" numFmtId="0" xfId="0" applyAlignment="1" applyBorder="1" applyFont="1">
      <alignment horizontal="center" shrinkToFit="0" vertical="center" wrapText="1"/>
    </xf>
    <xf borderId="7" fillId="0" fontId="2" numFmtId="0" xfId="0" applyBorder="1" applyFont="1"/>
    <xf borderId="8" fillId="0" fontId="2" numFmtId="0" xfId="0" applyBorder="1" applyFont="1"/>
    <xf borderId="9" fillId="0" fontId="1" numFmtId="0" xfId="0" applyAlignment="1" applyBorder="1" applyFont="1">
      <alignment horizontal="center" shrinkToFit="0" vertical="center" wrapText="1"/>
    </xf>
    <xf borderId="5" fillId="0" fontId="3" numFmtId="0" xfId="0" applyAlignment="1" applyBorder="1" applyFont="1">
      <alignment shrinkToFit="0" vertical="center" wrapText="1"/>
    </xf>
    <xf borderId="10" fillId="0" fontId="3" numFmtId="0" xfId="0" applyAlignment="1" applyBorder="1" applyFont="1">
      <alignment shrinkToFit="0" vertical="center" wrapText="1"/>
    </xf>
    <xf borderId="11" fillId="0" fontId="4" numFmtId="0" xfId="0" applyAlignment="1" applyBorder="1" applyFont="1">
      <alignment horizontal="center" shrinkToFit="0" vertical="center" wrapText="1"/>
    </xf>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9" fillId="0" fontId="4" numFmtId="0" xfId="0" applyAlignment="1" applyBorder="1" applyFont="1">
      <alignment shrinkToFit="0" vertical="center" wrapText="1"/>
    </xf>
    <xf borderId="5" fillId="0" fontId="4" numFmtId="0" xfId="0" applyAlignment="1" applyBorder="1" applyFont="1">
      <alignment shrinkToFit="0" vertical="center" wrapText="1"/>
    </xf>
    <xf borderId="10" fillId="0" fontId="4" numFmtId="0" xfId="0" applyAlignment="1" applyBorder="1" applyFont="1">
      <alignment shrinkToFit="0" vertical="center" wrapText="1"/>
    </xf>
    <xf borderId="9" fillId="0" fontId="1" numFmtId="0" xfId="0" applyAlignment="1" applyBorder="1" applyFont="1">
      <alignment shrinkToFit="0" vertical="center" wrapText="1"/>
    </xf>
    <xf borderId="5" fillId="0" fontId="1" numFmtId="0" xfId="0" applyAlignment="1" applyBorder="1" applyFont="1">
      <alignment shrinkToFit="0" vertical="center" wrapText="1"/>
    </xf>
    <xf borderId="17" fillId="0" fontId="5" numFmtId="0" xfId="0" applyAlignment="1" applyBorder="1" applyFont="1">
      <alignment shrinkToFit="0" vertical="center" wrapText="1"/>
    </xf>
    <xf borderId="18" fillId="0" fontId="2" numFmtId="0" xfId="0" applyBorder="1" applyFont="1"/>
    <xf borderId="17" fillId="0" fontId="5" numFmtId="0" xfId="0" applyAlignment="1" applyBorder="1" applyFont="1">
      <alignment horizontal="left" readingOrder="0" shrinkToFit="0" vertical="center" wrapText="1"/>
    </xf>
    <xf borderId="9" fillId="0" fontId="1" numFmtId="0" xfId="0" applyAlignment="1" applyBorder="1" applyFont="1">
      <alignment horizontal="left" shrinkToFit="0" vertical="center" wrapText="1"/>
    </xf>
    <xf borderId="11" fillId="0" fontId="5" numFmtId="0" xfId="0" applyAlignment="1" applyBorder="1" applyFont="1">
      <alignment shrinkToFit="0" vertical="center" wrapText="1"/>
    </xf>
    <xf borderId="11" fillId="0" fontId="5" numFmtId="0" xfId="0" applyAlignment="1" applyBorder="1" applyFont="1">
      <alignment horizontal="left" readingOrder="0" shrinkToFit="0" vertical="center" wrapText="1"/>
    </xf>
    <xf borderId="19" fillId="0" fontId="2" numFmtId="0" xfId="0" applyBorder="1" applyFont="1"/>
    <xf borderId="20" fillId="0" fontId="2" numFmtId="0" xfId="0" applyBorder="1" applyFont="1"/>
    <xf borderId="17" fillId="0" fontId="3"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9" fillId="0" fontId="6" numFmtId="0" xfId="0" applyBorder="1" applyFont="1"/>
    <xf borderId="17" fillId="0" fontId="3" numFmtId="0" xfId="0" applyAlignment="1" applyBorder="1" applyFont="1">
      <alignment readingOrder="0" shrinkToFit="0" wrapText="1"/>
    </xf>
    <xf borderId="5" fillId="0" fontId="3" numFmtId="0" xfId="0" applyAlignment="1" applyBorder="1" applyFont="1">
      <alignment readingOrder="0" shrinkToFit="0" wrapText="1"/>
    </xf>
    <xf borderId="10" fillId="0" fontId="6" numFmtId="0" xfId="0" applyBorder="1" applyFont="1"/>
    <xf borderId="4" fillId="2" fontId="6" numFmtId="0" xfId="0" applyBorder="1" applyFont="1"/>
    <xf borderId="5" fillId="2" fontId="6" numFmtId="0" xfId="0" applyBorder="1" applyFont="1"/>
    <xf borderId="9" fillId="0" fontId="7" numFmtId="0" xfId="0" applyAlignment="1" applyBorder="1" applyFont="1">
      <alignment horizontal="center" shrinkToFit="0" vertical="center" wrapText="1"/>
    </xf>
    <xf borderId="17" fillId="0" fontId="3" numFmtId="0" xfId="0" applyAlignment="1" applyBorder="1" applyFont="1">
      <alignment shrinkToFit="0" vertical="center" wrapText="1"/>
    </xf>
    <xf borderId="9" fillId="0" fontId="3" numFmtId="0" xfId="0" applyAlignment="1" applyBorder="1" applyFont="1">
      <alignment shrinkToFit="0" vertical="center" wrapText="1"/>
    </xf>
    <xf borderId="17" fillId="0" fontId="8" numFmtId="0" xfId="0" applyAlignment="1" applyBorder="1" applyFont="1">
      <alignment horizontal="center" readingOrder="0" shrinkToFit="0" vertical="center" wrapText="1"/>
    </xf>
    <xf borderId="21" fillId="0" fontId="3" numFmtId="0" xfId="0" applyAlignment="1" applyBorder="1" applyFont="1">
      <alignment shrinkToFit="0" vertical="center" wrapText="1"/>
    </xf>
    <xf borderId="22" fillId="0" fontId="3" numFmtId="0" xfId="0" applyAlignment="1" applyBorder="1" applyFont="1">
      <alignment shrinkToFit="0" vertical="center" wrapText="1"/>
    </xf>
    <xf borderId="23" fillId="0" fontId="3" numFmtId="0" xfId="0" applyAlignment="1" applyBorder="1" applyFont="1">
      <alignment shrinkToFit="0" vertical="center" wrapText="1"/>
    </xf>
    <xf borderId="16" fillId="0" fontId="3" numFmtId="0" xfId="0" applyAlignment="1" applyBorder="1" applyFont="1">
      <alignment shrinkToFit="0" vertical="center" wrapText="1"/>
    </xf>
    <xf borderId="24" fillId="0" fontId="3" numFmtId="0" xfId="0" applyAlignment="1" applyBorder="1" applyFont="1">
      <alignment shrinkToFit="0" vertical="center" wrapText="1"/>
    </xf>
    <xf borderId="18" fillId="0" fontId="3" numFmtId="0" xfId="0" applyAlignment="1" applyBorder="1" applyFont="1">
      <alignment shrinkToFit="0" vertical="center" wrapText="1"/>
    </xf>
    <xf borderId="0" fillId="0" fontId="6" numFmtId="0" xfId="0" applyAlignment="1" applyFont="1">
      <alignment vertical="bottom"/>
    </xf>
    <xf borderId="25" fillId="3" fontId="9" numFmtId="0" xfId="0" applyAlignment="1" applyBorder="1" applyFill="1" applyFont="1">
      <alignment horizontal="center" readingOrder="0" shrinkToFit="0" vertical="bottom" wrapText="1"/>
    </xf>
    <xf borderId="26" fillId="0" fontId="2" numFmtId="0" xfId="0" applyBorder="1" applyFont="1"/>
    <xf borderId="27" fillId="0" fontId="2" numFmtId="0" xfId="0" applyBorder="1" applyFont="1"/>
    <xf borderId="28" fillId="0" fontId="2" numFmtId="0" xfId="0" applyBorder="1" applyFont="1"/>
    <xf borderId="29" fillId="0" fontId="2" numFmtId="0" xfId="0" applyBorder="1" applyFont="1"/>
    <xf borderId="30" fillId="0" fontId="2" numFmtId="0" xfId="0" applyBorder="1" applyFont="1"/>
    <xf borderId="0" fillId="0" fontId="10" numFmtId="0" xfId="0" applyAlignment="1" applyFont="1">
      <alignment shrinkToFit="0" vertical="bottom" wrapText="1"/>
    </xf>
    <xf borderId="0" fillId="0" fontId="11" numFmtId="0" xfId="0" applyAlignment="1" applyFont="1">
      <alignment shrinkToFit="0" vertical="bottom" wrapText="1"/>
    </xf>
    <xf borderId="0" fillId="0" fontId="11" numFmtId="0" xfId="0" applyAlignment="1" applyFont="1">
      <alignment readingOrder="0" shrinkToFit="0" vertical="bottom" wrapText="1"/>
    </xf>
    <xf borderId="0" fillId="0" fontId="11" numFmtId="164" xfId="0" applyAlignment="1" applyFont="1" applyNumberFormat="1">
      <alignment horizontal="right" readingOrder="0" shrinkToFit="0" vertical="bottom" wrapText="1"/>
    </xf>
    <xf borderId="0" fillId="0" fontId="11" numFmtId="0" xfId="0" applyAlignment="1" applyFont="1">
      <alignment readingOrder="0" vertical="bottom"/>
    </xf>
    <xf borderId="31" fillId="4" fontId="12" numFmtId="0" xfId="0" applyAlignment="1" applyBorder="1" applyFill="1" applyFont="1">
      <alignment horizontal="center" shrinkToFit="0" vertical="bottom" wrapText="1"/>
    </xf>
    <xf borderId="32" fillId="4" fontId="12" numFmtId="0" xfId="0" applyAlignment="1" applyBorder="1" applyFont="1">
      <alignment horizontal="center" shrinkToFit="0" vertical="bottom" wrapText="1"/>
    </xf>
    <xf borderId="32" fillId="0" fontId="11" numFmtId="0" xfId="0" applyAlignment="1" applyBorder="1" applyFont="1">
      <alignment horizontal="center" shrinkToFit="0" vertical="bottom" wrapText="1"/>
    </xf>
    <xf borderId="32" fillId="5" fontId="12" numFmtId="0" xfId="0" applyAlignment="1" applyBorder="1" applyFill="1" applyFont="1">
      <alignment horizontal="center" shrinkToFit="0" vertical="bottom" wrapText="1"/>
    </xf>
    <xf borderId="31" fillId="5" fontId="12" numFmtId="0" xfId="0" applyAlignment="1" applyBorder="1" applyFont="1">
      <alignment horizontal="center" shrinkToFit="0" vertical="bottom" wrapText="1"/>
    </xf>
    <xf borderId="33" fillId="0" fontId="2" numFmtId="0" xfId="0" applyBorder="1" applyFont="1"/>
    <xf borderId="32" fillId="0" fontId="11" numFmtId="0" xfId="0" applyAlignment="1" applyBorder="1" applyFont="1">
      <alignment horizontal="center" readingOrder="0" shrinkToFit="0" vertical="bottom" wrapText="1"/>
    </xf>
    <xf borderId="31" fillId="0" fontId="11" numFmtId="0" xfId="0" applyAlignment="1" applyBorder="1" applyFont="1">
      <alignment readingOrder="0" shrinkToFit="0" vertical="bottom" wrapText="1"/>
    </xf>
    <xf borderId="31" fillId="0" fontId="6" numFmtId="0" xfId="0" applyAlignment="1" applyBorder="1" applyFont="1">
      <alignment vertical="bottom"/>
    </xf>
    <xf borderId="31" fillId="0" fontId="11" numFmtId="0" xfId="0" applyAlignment="1" applyBorder="1" applyFont="1">
      <alignment readingOrder="0" shrinkToFit="0" vertical="bottom" wrapText="1"/>
    </xf>
    <xf borderId="31" fillId="0" fontId="6" numFmtId="0" xfId="0" applyAlignment="1" applyBorder="1" applyFont="1">
      <alignment readingOrder="0" shrinkToFit="0" vertical="bottom" wrapText="1"/>
    </xf>
    <xf borderId="31" fillId="0" fontId="11" numFmtId="0" xfId="0" applyAlignment="1" applyBorder="1" applyFont="1">
      <alignment shrinkToFit="0" vertical="bottom" wrapText="1"/>
    </xf>
    <xf borderId="32" fillId="6" fontId="13" numFmtId="0" xfId="0" applyAlignment="1" applyBorder="1" applyFill="1" applyFont="1">
      <alignment horizontal="center" shrinkToFit="0" vertical="bottom" wrapText="1"/>
    </xf>
    <xf borderId="31" fillId="6" fontId="13" numFmtId="0" xfId="0" applyAlignment="1" applyBorder="1" applyFont="1">
      <alignment horizontal="center" shrinkToFit="0" vertical="bottom" wrapText="1"/>
    </xf>
    <xf borderId="31" fillId="7" fontId="14" numFmtId="0" xfId="0" applyAlignment="1" applyBorder="1" applyFill="1" applyFont="1">
      <alignment readingOrder="0" shrinkToFit="0" vertical="bottom" wrapText="1"/>
    </xf>
    <xf borderId="34" fillId="0" fontId="2" numFmtId="0" xfId="0" applyBorder="1" applyFont="1"/>
    <xf borderId="32" fillId="0" fontId="11" numFmtId="0" xfId="0" applyAlignment="1" applyBorder="1" applyFont="1">
      <alignment shrinkToFit="0" vertical="bottom" wrapText="1"/>
    </xf>
    <xf borderId="32" fillId="0" fontId="11" numFmtId="165" xfId="0" applyAlignment="1" applyBorder="1" applyFont="1" applyNumberFormat="1">
      <alignment horizontal="center" readingOrder="0" shrinkToFit="0" vertical="bottom" wrapText="1"/>
    </xf>
    <xf borderId="32" fillId="0" fontId="11" numFmtId="0" xfId="0" applyAlignment="1" applyBorder="1" applyFont="1">
      <alignment readingOrder="0" shrinkToFit="0" vertical="bottom" wrapText="1"/>
    </xf>
    <xf borderId="32" fillId="0" fontId="6" numFmtId="0" xfId="0" applyAlignment="1" applyBorder="1" applyFont="1">
      <alignment vertical="bottom"/>
    </xf>
    <xf borderId="31" fillId="0" fontId="6" numFmtId="0" xfId="0" applyAlignment="1" applyBorder="1" applyFont="1">
      <alignment shrinkToFit="0" vertical="bottom" wrapText="1"/>
    </xf>
    <xf borderId="0" fillId="7" fontId="14" numFmtId="0" xfId="0" applyAlignment="1" applyFont="1">
      <alignment horizontal="left" readingOrder="0"/>
    </xf>
    <xf borderId="31" fillId="0" fontId="11" numFmtId="0" xfId="0" applyAlignment="1" applyBorder="1" applyFont="1">
      <alignment readingOrder="0" vertical="bottom"/>
    </xf>
    <xf borderId="32" fillId="0" fontId="11" numFmtId="165" xfId="0" applyAlignment="1" applyBorder="1" applyFont="1" applyNumberFormat="1">
      <alignment horizontal="center" shrinkToFit="0" vertical="bottom" wrapText="1"/>
    </xf>
    <xf borderId="31" fillId="7" fontId="14" numFmtId="0" xfId="0" applyAlignment="1" applyBorder="1" applyFont="1">
      <alignment readingOrder="0"/>
    </xf>
    <xf borderId="32" fillId="0" fontId="11" numFmtId="0" xfId="0" applyAlignment="1" applyBorder="1" applyFont="1">
      <alignment shrinkToFit="0" vertical="bottom" wrapText="1"/>
    </xf>
    <xf borderId="31" fillId="0" fontId="11" numFmtId="0" xfId="0" applyAlignment="1" applyBorder="1" applyFont="1">
      <alignment shrinkToFit="0" vertical="bottom" wrapText="1"/>
    </xf>
    <xf borderId="31" fillId="0" fontId="6" numFmtId="0" xfId="0" applyAlignment="1" applyBorder="1" applyFont="1">
      <alignment vertical="bottom"/>
    </xf>
    <xf borderId="0" fillId="0" fontId="15" numFmtId="0" xfId="0" applyAlignment="1" applyFont="1">
      <alignment horizontal="left" readingOrder="0" vertical="top"/>
    </xf>
    <xf borderId="0" fillId="0" fontId="16" numFmtId="0" xfId="0" applyFont="1"/>
    <xf borderId="0" fillId="0" fontId="15" numFmtId="0" xfId="0" applyAlignment="1" applyFont="1">
      <alignment horizontal="left" readingOrder="0"/>
    </xf>
    <xf borderId="5" fillId="0" fontId="16" numFmtId="0" xfId="0" applyAlignment="1" applyBorder="1" applyFont="1">
      <alignment horizontal="right" readingOrder="0"/>
    </xf>
    <xf borderId="7" fillId="0" fontId="17" numFmtId="0" xfId="0" applyAlignment="1" applyBorder="1" applyFont="1">
      <alignment horizontal="left" readingOrder="0"/>
    </xf>
    <xf borderId="5" fillId="0" fontId="17" numFmtId="0" xfId="0" applyAlignment="1" applyBorder="1" applyFont="1">
      <alignment horizontal="left"/>
    </xf>
    <xf borderId="7" fillId="0" fontId="17" numFmtId="164" xfId="0" applyAlignment="1" applyBorder="1" applyFont="1" applyNumberFormat="1">
      <alignment horizontal="left" readingOrder="0"/>
    </xf>
    <xf borderId="0" fillId="8" fontId="18" numFmtId="0" xfId="0" applyAlignment="1" applyFill="1" applyFont="1">
      <alignment horizontal="center" readingOrder="0" shrinkToFit="0" wrapText="0"/>
    </xf>
    <xf borderId="0" fillId="8" fontId="18" numFmtId="0" xfId="0" applyAlignment="1" applyFont="1">
      <alignment horizontal="center" readingOrder="0" vertical="bottom"/>
    </xf>
    <xf borderId="0" fillId="8" fontId="18" numFmtId="0" xfId="0" applyAlignment="1" applyFont="1">
      <alignment horizontal="left" readingOrder="0" vertical="bottom"/>
    </xf>
    <xf borderId="35" fillId="8" fontId="18" numFmtId="0" xfId="0" applyAlignment="1" applyBorder="1" applyFont="1">
      <alignment horizontal="center" readingOrder="0" vertical="top"/>
    </xf>
    <xf borderId="36" fillId="9" fontId="19" numFmtId="0" xfId="0" applyAlignment="1" applyBorder="1" applyFill="1" applyFont="1">
      <alignment horizontal="left" readingOrder="0" vertical="top"/>
    </xf>
    <xf borderId="0" fillId="9" fontId="17" numFmtId="0" xfId="0" applyAlignment="1" applyFont="1">
      <alignment horizontal="center" vertical="top"/>
    </xf>
    <xf borderId="0" fillId="9" fontId="17" numFmtId="0" xfId="0" applyAlignment="1" applyFont="1">
      <alignment horizontal="left" vertical="top"/>
    </xf>
    <xf borderId="35" fillId="9" fontId="17" numFmtId="0" xfId="0" applyAlignment="1" applyBorder="1" applyFont="1">
      <alignment horizontal="center" vertical="top"/>
    </xf>
    <xf borderId="37" fillId="0" fontId="16" numFmtId="0" xfId="0" applyAlignment="1" applyBorder="1" applyFont="1">
      <alignment horizontal="left" readingOrder="0" vertical="top"/>
    </xf>
    <xf borderId="0" fillId="0" fontId="16" numFmtId="0" xfId="0" applyAlignment="1" applyFont="1">
      <alignment horizontal="center" vertical="top"/>
    </xf>
    <xf borderId="0" fillId="0" fontId="16" numFmtId="0" xfId="0" applyAlignment="1" applyFont="1">
      <alignment horizontal="left"/>
    </xf>
    <xf borderId="35" fillId="0" fontId="16" numFmtId="0" xfId="0" applyAlignment="1" applyBorder="1" applyFont="1">
      <alignment horizontal="center" readingOrder="0" vertical="top"/>
    </xf>
    <xf borderId="0" fillId="0" fontId="16" numFmtId="0" xfId="0" applyAlignment="1" applyFont="1">
      <alignment horizontal="center" readingOrder="0" vertical="top"/>
    </xf>
    <xf borderId="0" fillId="0" fontId="20" numFmtId="0" xfId="0" applyAlignment="1" applyFont="1">
      <alignment horizontal="left" readingOrder="0"/>
    </xf>
    <xf borderId="0" fillId="0" fontId="21" numFmtId="0" xfId="0" applyAlignment="1" applyFont="1">
      <alignment horizontal="center" vertical="top"/>
    </xf>
    <xf borderId="0" fillId="0" fontId="21" numFmtId="0" xfId="0" applyAlignment="1" applyFont="1">
      <alignment horizontal="left" readingOrder="0" shrinkToFit="0" wrapText="1"/>
    </xf>
    <xf borderId="35" fillId="0" fontId="16" numFmtId="0" xfId="0" applyAlignment="1" applyBorder="1" applyFont="1">
      <alignment horizontal="center" vertical="top"/>
    </xf>
    <xf borderId="0" fillId="0" fontId="21" numFmtId="0" xfId="0" applyAlignment="1" applyFont="1">
      <alignment horizontal="center" readingOrder="0" vertical="top"/>
    </xf>
    <xf borderId="37" fillId="9" fontId="22" numFmtId="0" xfId="0" applyAlignment="1" applyBorder="1" applyFont="1">
      <alignment horizontal="left" readingOrder="0" vertical="top"/>
    </xf>
    <xf borderId="0" fillId="9" fontId="16" numFmtId="0" xfId="0" applyAlignment="1" applyFont="1">
      <alignment horizontal="left" vertical="top"/>
    </xf>
    <xf borderId="35" fillId="9" fontId="16" numFmtId="0" xfId="0" applyAlignment="1" applyBorder="1" applyFont="1">
      <alignment horizontal="center" vertical="top"/>
    </xf>
    <xf borderId="0" fillId="0" fontId="16" numFmtId="0" xfId="0" applyAlignment="1" applyFont="1">
      <alignment horizontal="left" vertical="bottom"/>
    </xf>
    <xf borderId="0" fillId="0" fontId="16" numFmtId="0" xfId="0" applyAlignment="1" applyFont="1">
      <alignment horizontal="left" vertical="top"/>
    </xf>
    <xf borderId="0" fillId="0" fontId="20" numFmtId="0" xfId="0" applyAlignment="1" applyFont="1">
      <alignment horizontal="left" readingOrder="0" vertical="bottom"/>
    </xf>
    <xf borderId="0" fillId="0" fontId="20" numFmtId="0" xfId="0" applyAlignment="1" applyFont="1">
      <alignment horizontal="left" vertical="bottom"/>
    </xf>
    <xf borderId="0" fillId="9" fontId="20" numFmtId="0" xfId="0" applyAlignment="1" applyFont="1">
      <alignment horizontal="left" vertical="top"/>
    </xf>
    <xf borderId="0" fillId="0" fontId="20" numFmtId="0" xfId="0" applyAlignment="1" applyFont="1">
      <alignment horizontal="left" vertical="top"/>
    </xf>
    <xf borderId="0" fillId="0" fontId="16" numFmtId="0" xfId="0" applyAlignment="1" applyFont="1">
      <alignment horizontal="center" readingOrder="0" shrinkToFit="0" vertical="top" wrapText="0"/>
    </xf>
    <xf borderId="0" fillId="0" fontId="16" numFmtId="0" xfId="0" applyAlignment="1" applyFont="1">
      <alignment horizontal="center" shrinkToFit="0" vertical="top" wrapText="0"/>
    </xf>
    <xf borderId="35" fillId="0" fontId="16" numFmtId="0" xfId="0" applyAlignment="1" applyBorder="1" applyFont="1">
      <alignment horizontal="center" readingOrder="0" shrinkToFit="0" vertical="top" wrapText="0"/>
    </xf>
    <xf borderId="0" fillId="0" fontId="20" numFmtId="0" xfId="0" applyAlignment="1" applyFont="1">
      <alignment horizontal="left" readingOrder="0" vertical="top"/>
    </xf>
    <xf borderId="35" fillId="0" fontId="16" numFmtId="0" xfId="0" applyAlignment="1" applyBorder="1" applyFont="1">
      <alignment horizontal="center" shrinkToFit="0" vertical="top" wrapText="0"/>
    </xf>
    <xf borderId="35" fillId="0" fontId="22" numFmtId="0" xfId="0" applyAlignment="1" applyBorder="1" applyFont="1">
      <alignment horizontal="center" vertical="top"/>
    </xf>
    <xf borderId="0" fillId="9" fontId="16" numFmtId="0" xfId="0" applyAlignment="1" applyFont="1">
      <alignment horizontal="center" vertical="top"/>
    </xf>
    <xf borderId="35" fillId="9" fontId="16" numFmtId="0" xfId="0" applyAlignment="1" applyBorder="1" applyFont="1">
      <alignment horizontal="left" vertical="top"/>
    </xf>
    <xf borderId="37" fillId="0" fontId="16" numFmtId="0" xfId="0" applyAlignment="1" applyBorder="1" applyFont="1">
      <alignment horizontal="left" readingOrder="0" shrinkToFit="0" vertical="top" wrapText="0"/>
    </xf>
    <xf borderId="37" fillId="0" fontId="23" numFmtId="0" xfId="0" applyAlignment="1" applyBorder="1" applyFont="1">
      <alignment horizontal="left" readingOrder="0" shrinkToFit="0" vertical="top" wrapText="0"/>
    </xf>
    <xf borderId="37" fillId="0" fontId="16" numFmtId="0" xfId="0" applyAlignment="1" applyBorder="1" applyFont="1">
      <alignment horizontal="left" vertical="top"/>
    </xf>
    <xf borderId="38" fillId="0" fontId="23" numFmtId="0" xfId="0" applyAlignment="1" applyBorder="1" applyFont="1">
      <alignment horizontal="left" readingOrder="0" vertical="top"/>
    </xf>
    <xf borderId="39" fillId="0" fontId="16" numFmtId="0" xfId="0" applyAlignment="1" applyBorder="1" applyFont="1">
      <alignment horizontal="center" vertical="top"/>
    </xf>
    <xf borderId="39" fillId="0" fontId="20" numFmtId="0" xfId="0" applyAlignment="1" applyBorder="1" applyFont="1">
      <alignment horizontal="left" vertical="top"/>
    </xf>
    <xf borderId="40" fillId="0" fontId="16" numFmtId="0" xfId="0" applyAlignment="1" applyBorder="1" applyFont="1">
      <alignment horizontal="center" vertical="top"/>
    </xf>
    <xf borderId="0" fillId="0" fontId="16" numFmtId="0" xfId="0" applyAlignment="1" applyFont="1">
      <alignment horizontal="center" readingOrder="0"/>
    </xf>
    <xf borderId="41" fillId="0" fontId="24" numFmtId="0" xfId="0" applyAlignment="1" applyBorder="1" applyFont="1">
      <alignment horizontal="left" readingOrder="0"/>
    </xf>
    <xf borderId="42" fillId="0" fontId="2" numFmtId="0" xfId="0" applyBorder="1" applyFont="1"/>
    <xf borderId="43" fillId="0" fontId="2" numFmtId="0" xfId="0" applyBorder="1" applyFont="1"/>
    <xf borderId="44" fillId="0" fontId="16" numFmtId="0" xfId="0" applyAlignment="1" applyBorder="1" applyFont="1">
      <alignment horizontal="left" readingOrder="0"/>
    </xf>
    <xf borderId="45" fillId="0" fontId="2" numFmtId="0" xfId="0" applyBorder="1" applyFont="1"/>
    <xf borderId="46" fillId="0" fontId="2" numFmtId="0" xfId="0" applyBorder="1" applyFont="1"/>
    <xf borderId="47" fillId="0" fontId="2" numFmtId="0" xfId="0" applyBorder="1" applyFont="1"/>
    <xf borderId="48" fillId="0" fontId="2" numFmtId="0" xfId="0" applyBorder="1" applyFont="1"/>
    <xf borderId="49" fillId="0" fontId="2" numFmtId="0" xfId="0" applyBorder="1" applyFont="1"/>
    <xf borderId="50" fillId="0" fontId="2" numFmtId="0" xfId="0" applyBorder="1" applyFont="1"/>
    <xf borderId="51" fillId="0" fontId="2" numFmtId="0" xfId="0" applyBorder="1" applyFont="1"/>
    <xf borderId="41" fillId="0" fontId="25" numFmtId="0" xfId="0" applyAlignment="1" applyBorder="1" applyFont="1">
      <alignment horizontal="left" readingOrder="0"/>
    </xf>
    <xf borderId="41" fillId="0" fontId="16" numFmtId="0" xfId="0" applyAlignment="1" applyBorder="1" applyFont="1">
      <alignment horizontal="left" readingOrder="0"/>
    </xf>
    <xf borderId="44" fillId="0" fontId="23" numFmtId="0" xfId="0" applyAlignment="1" applyBorder="1" applyFont="1">
      <alignment horizontal="left" readingOrder="0"/>
    </xf>
    <xf borderId="0" fillId="0" fontId="16" numFmtId="0" xfId="0" applyAlignment="1" applyFont="1">
      <alignment shrinkToFit="0" vertical="bottom" wrapText="0"/>
    </xf>
    <xf borderId="31" fillId="5" fontId="12" numFmtId="0" xfId="0" applyAlignment="1" applyBorder="1" applyFont="1">
      <alignment horizontal="center" readingOrder="0" vertical="bottom"/>
    </xf>
    <xf borderId="31" fillId="0" fontId="14" numFmtId="0" xfId="0" applyAlignment="1" applyBorder="1" applyFont="1">
      <alignment vertical="bottom"/>
    </xf>
    <xf borderId="31" fillId="0" fontId="14" numFmtId="0" xfId="0" applyAlignment="1" applyBorder="1" applyFont="1">
      <alignment readingOrder="0" vertical="bottom"/>
    </xf>
    <xf borderId="31" fillId="0" fontId="14" numFmtId="0" xfId="0" applyAlignment="1" applyBorder="1" applyFont="1">
      <alignment readingOrder="0" shrinkToFit="0" vertical="bottom" wrapText="1"/>
    </xf>
    <xf borderId="32" fillId="10" fontId="12" numFmtId="0" xfId="0" applyAlignment="1" applyBorder="1" applyFill="1" applyFont="1">
      <alignment horizontal="center" vertical="bottom"/>
    </xf>
    <xf borderId="32" fillId="10" fontId="12" numFmtId="0" xfId="0" applyAlignment="1" applyBorder="1" applyFont="1">
      <alignment horizontal="center" shrinkToFit="0" vertical="bottom" wrapText="1"/>
    </xf>
    <xf borderId="31" fillId="10" fontId="12" numFmtId="0" xfId="0" applyAlignment="1" applyBorder="1" applyFont="1">
      <alignment horizontal="center" shrinkToFit="0" vertical="bottom" wrapText="1"/>
    </xf>
    <xf borderId="32" fillId="0" fontId="14" numFmtId="0" xfId="0" applyAlignment="1" applyBorder="1" applyFont="1">
      <alignment horizontal="center" vertical="bottom"/>
    </xf>
    <xf borderId="32" fillId="2" fontId="26" numFmtId="0" xfId="0" applyAlignment="1" applyBorder="1" applyFont="1">
      <alignment shrinkToFit="0" vertical="bottom" wrapText="1"/>
    </xf>
    <xf borderId="32" fillId="0" fontId="14" numFmtId="0" xfId="0" applyAlignment="1" applyBorder="1" applyFont="1">
      <alignment shrinkToFit="0" vertical="bottom" wrapText="1"/>
    </xf>
    <xf borderId="32" fillId="0" fontId="14" numFmtId="0" xfId="0" applyAlignment="1" applyBorder="1" applyFont="1">
      <alignment readingOrder="0" shrinkToFit="0" vertical="bottom" wrapText="1"/>
    </xf>
    <xf borderId="31" fillId="0" fontId="14" numFmtId="0" xfId="0" applyAlignment="1" applyBorder="1" applyFont="1">
      <alignment shrinkToFit="0" vertical="bottom" wrapText="1"/>
    </xf>
    <xf borderId="29" fillId="0" fontId="14" numFmtId="0" xfId="0" applyAlignment="1" applyBorder="1" applyFont="1">
      <alignment readingOrder="0" shrinkToFit="0" vertical="top" wrapText="1"/>
    </xf>
    <xf borderId="29" fillId="0" fontId="14" numFmtId="0" xfId="0" applyAlignment="1" applyBorder="1" applyFont="1">
      <alignment vertical="bottom"/>
    </xf>
    <xf borderId="32" fillId="2" fontId="26" numFmtId="0" xfId="0" applyAlignment="1" applyBorder="1" applyFont="1">
      <alignment vertical="bottom"/>
    </xf>
    <xf borderId="34" fillId="0" fontId="6" numFmtId="0" xfId="0" applyAlignment="1" applyBorder="1" applyFont="1">
      <alignment vertical="bottom"/>
    </xf>
    <xf borderId="26" fillId="0" fontId="6" numFmtId="0" xfId="0" applyAlignment="1" applyBorder="1" applyFont="1">
      <alignment vertical="bottom"/>
    </xf>
    <xf borderId="27" fillId="0" fontId="6" numFmtId="0" xfId="0" applyAlignment="1" applyBorder="1" applyFont="1">
      <alignment vertical="bottom"/>
    </xf>
    <xf borderId="31" fillId="4" fontId="5" numFmtId="0" xfId="0" applyAlignment="1" applyBorder="1" applyFont="1">
      <alignment horizontal="center" shrinkToFit="0" vertical="bottom" wrapText="1"/>
    </xf>
    <xf borderId="32" fillId="4" fontId="5" numFmtId="0" xfId="0" applyAlignment="1" applyBorder="1" applyFont="1">
      <alignment horizontal="center" shrinkToFit="0" vertical="bottom" wrapText="1"/>
    </xf>
    <xf borderId="52" fillId="0" fontId="6" numFmtId="0" xfId="0" applyAlignment="1" applyBorder="1" applyFont="1">
      <alignment vertical="bottom"/>
    </xf>
    <xf borderId="29" fillId="2" fontId="27" numFmtId="0" xfId="0" applyAlignment="1" applyBorder="1" applyFont="1">
      <alignment horizontal="right" vertical="bottom"/>
    </xf>
    <xf borderId="32" fillId="0" fontId="3" numFmtId="0" xfId="0" applyAlignment="1" applyBorder="1" applyFont="1">
      <alignment horizontal="center" shrinkToFit="0" vertical="bottom" wrapText="1"/>
    </xf>
    <xf borderId="0" fillId="2" fontId="6" numFmtId="0" xfId="0" applyAlignment="1" applyFont="1">
      <alignment vertical="bottom"/>
    </xf>
    <xf borderId="29" fillId="0" fontId="6" numFmtId="0" xfId="0" applyAlignment="1" applyBorder="1" applyFont="1">
      <alignment vertical="bottom"/>
    </xf>
    <xf borderId="30" fillId="0" fontId="6" numFmtId="0" xfId="0" applyAlignment="1" applyBorder="1" applyFont="1">
      <alignment vertical="bottom"/>
    </xf>
    <xf borderId="32" fillId="11" fontId="10" numFmtId="0" xfId="0" applyAlignment="1" applyBorder="1" applyFill="1" applyFont="1">
      <alignment horizontal="center" shrinkToFit="0" vertical="bottom" wrapText="1"/>
    </xf>
    <xf borderId="0" fillId="0" fontId="28" numFmtId="0" xfId="0" applyAlignment="1" applyFont="1">
      <alignment readingOrder="0"/>
    </xf>
    <xf borderId="0" fillId="12" fontId="29" numFmtId="0" xfId="0" applyAlignment="1" applyFill="1" applyFont="1">
      <alignment horizontal="left" readingOrder="0"/>
    </xf>
    <xf borderId="0" fillId="12" fontId="30" numFmtId="0" xfId="0" applyAlignment="1" applyFont="1">
      <alignment horizontal="left" readingOrder="0"/>
    </xf>
    <xf borderId="53" fillId="12" fontId="30" numFmtId="0" xfId="0" applyAlignment="1" applyBorder="1" applyFont="1">
      <alignment horizontal="left" readingOrder="0"/>
    </xf>
    <xf borderId="54" fillId="12" fontId="30" numFmtId="0" xfId="0" applyAlignment="1" applyBorder="1" applyFont="1">
      <alignment horizontal="left" readingOrder="0"/>
    </xf>
    <xf borderId="53" fillId="12" fontId="30" numFmtId="0" xfId="0" applyAlignment="1" applyBorder="1" applyFont="1">
      <alignment horizontal="left"/>
    </xf>
    <xf borderId="53" fillId="12" fontId="30" numFmtId="0" xfId="0" applyAlignment="1" applyBorder="1" applyFont="1">
      <alignment horizontal="left"/>
    </xf>
    <xf borderId="55" fillId="12" fontId="30" numFmtId="0" xfId="0" applyAlignment="1" applyBorder="1" applyFont="1">
      <alignment horizontal="left" readingOrder="0"/>
    </xf>
    <xf borderId="56" fillId="12" fontId="30"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xdr:row>
      <xdr:rowOff>0</xdr:rowOff>
    </xdr:from>
    <xdr:ext cx="3524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962025</xdr:colOff>
      <xdr:row>38</xdr:row>
      <xdr:rowOff>219075</xdr:rowOff>
    </xdr:from>
    <xdr:ext cx="2571750" cy="108585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962025</xdr:colOff>
      <xdr:row>34</xdr:row>
      <xdr:rowOff>219075</xdr:rowOff>
    </xdr:from>
    <xdr:ext cx="2571750" cy="876300"/>
    <xdr:pic>
      <xdr:nvPicPr>
        <xdr:cNvPr id="0" name="image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962025</xdr:colOff>
      <xdr:row>14</xdr:row>
      <xdr:rowOff>219075</xdr:rowOff>
    </xdr:from>
    <xdr:ext cx="2571750" cy="1809750"/>
    <xdr:pic>
      <xdr:nvPicPr>
        <xdr:cNvPr id="0" name="image4.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962025</xdr:colOff>
      <xdr:row>4</xdr:row>
      <xdr:rowOff>504825</xdr:rowOff>
    </xdr:from>
    <xdr:ext cx="2571750" cy="1971675"/>
    <xdr:pic>
      <xdr:nvPicPr>
        <xdr:cNvPr id="0" name="image2.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4.63"/>
    <col customWidth="1" min="2" max="3" width="12.63"/>
    <col customWidth="1" min="4" max="4" width="19.13"/>
    <col customWidth="1" min="5" max="6" width="12.63"/>
  </cols>
  <sheetData>
    <row r="1">
      <c r="A1" s="1" t="s">
        <v>0</v>
      </c>
      <c r="B1" s="2"/>
      <c r="C1" s="2"/>
      <c r="D1" s="2"/>
      <c r="E1" s="2"/>
      <c r="F1" s="2"/>
      <c r="G1" s="2"/>
      <c r="H1" s="3"/>
      <c r="I1" s="4"/>
      <c r="J1" s="5"/>
      <c r="K1" s="5"/>
      <c r="L1" s="5"/>
      <c r="M1" s="5"/>
      <c r="N1" s="5"/>
      <c r="O1" s="5"/>
      <c r="P1" s="5"/>
      <c r="Q1" s="5"/>
      <c r="R1" s="5"/>
      <c r="S1" s="5"/>
      <c r="T1" s="5"/>
      <c r="U1" s="5"/>
      <c r="V1" s="5"/>
      <c r="W1" s="5"/>
      <c r="X1" s="5"/>
      <c r="Y1" s="5"/>
      <c r="Z1" s="5"/>
    </row>
    <row r="2">
      <c r="A2" s="6" t="s">
        <v>1</v>
      </c>
      <c r="B2" s="7"/>
      <c r="C2" s="7"/>
      <c r="D2" s="7"/>
      <c r="E2" s="7"/>
      <c r="F2" s="7"/>
      <c r="G2" s="7"/>
      <c r="H2" s="8"/>
      <c r="I2" s="4"/>
      <c r="J2" s="5"/>
      <c r="K2" s="5"/>
      <c r="L2" s="5"/>
      <c r="M2" s="5"/>
      <c r="N2" s="5"/>
      <c r="O2" s="5"/>
      <c r="P2" s="5"/>
      <c r="Q2" s="5"/>
      <c r="R2" s="5"/>
      <c r="S2" s="5"/>
      <c r="T2" s="5"/>
      <c r="U2" s="5"/>
      <c r="V2" s="5"/>
      <c r="W2" s="5"/>
      <c r="X2" s="5"/>
      <c r="Y2" s="5"/>
      <c r="Z2" s="5"/>
    </row>
    <row r="3">
      <c r="A3" s="9"/>
      <c r="B3" s="10"/>
      <c r="C3" s="10"/>
      <c r="D3" s="10"/>
      <c r="E3" s="10"/>
      <c r="F3" s="10"/>
      <c r="G3" s="10"/>
      <c r="H3" s="11"/>
      <c r="I3" s="4"/>
      <c r="J3" s="5"/>
      <c r="K3" s="5"/>
      <c r="L3" s="5"/>
      <c r="M3" s="5"/>
      <c r="N3" s="5"/>
      <c r="O3" s="5"/>
      <c r="P3" s="5"/>
      <c r="Q3" s="5"/>
      <c r="R3" s="5"/>
      <c r="S3" s="5"/>
      <c r="T3" s="5"/>
      <c r="U3" s="5"/>
      <c r="V3" s="5"/>
      <c r="W3" s="5"/>
      <c r="X3" s="5"/>
      <c r="Y3" s="5"/>
      <c r="Z3" s="5"/>
    </row>
    <row r="4">
      <c r="A4" s="9"/>
      <c r="B4" s="10"/>
      <c r="C4" s="10"/>
      <c r="D4" s="12"/>
      <c r="E4" s="13"/>
      <c r="F4" s="10"/>
      <c r="G4" s="10"/>
      <c r="H4" s="11"/>
      <c r="I4" s="4"/>
      <c r="J4" s="5"/>
      <c r="K4" s="5"/>
      <c r="L4" s="5"/>
      <c r="M4" s="5"/>
      <c r="N4" s="5"/>
      <c r="O4" s="5"/>
      <c r="P4" s="5"/>
      <c r="Q4" s="5"/>
      <c r="R4" s="5"/>
      <c r="S4" s="5"/>
      <c r="T4" s="5"/>
      <c r="U4" s="5"/>
      <c r="V4" s="5"/>
      <c r="W4" s="5"/>
      <c r="X4" s="5"/>
      <c r="Y4" s="5"/>
      <c r="Z4" s="5"/>
    </row>
    <row r="5">
      <c r="A5" s="9"/>
      <c r="B5" s="10"/>
      <c r="C5" s="10"/>
      <c r="D5" s="14"/>
      <c r="E5" s="15"/>
      <c r="F5" s="10"/>
      <c r="G5" s="10"/>
      <c r="H5" s="11"/>
      <c r="I5" s="4"/>
      <c r="J5" s="5"/>
      <c r="K5" s="5"/>
      <c r="L5" s="5"/>
      <c r="M5" s="5"/>
      <c r="N5" s="5"/>
      <c r="O5" s="5"/>
      <c r="P5" s="5"/>
      <c r="Q5" s="5"/>
      <c r="R5" s="5"/>
      <c r="S5" s="5"/>
      <c r="T5" s="5"/>
      <c r="U5" s="5"/>
      <c r="V5" s="5"/>
      <c r="W5" s="5"/>
      <c r="X5" s="5"/>
      <c r="Y5" s="5"/>
      <c r="Z5" s="5"/>
    </row>
    <row r="6">
      <c r="A6" s="9"/>
      <c r="B6" s="10"/>
      <c r="C6" s="10"/>
      <c r="D6" s="14"/>
      <c r="E6" s="15"/>
      <c r="F6" s="10"/>
      <c r="G6" s="10"/>
      <c r="H6" s="11"/>
      <c r="I6" s="4"/>
      <c r="J6" s="5"/>
      <c r="K6" s="5"/>
      <c r="L6" s="5"/>
      <c r="M6" s="5"/>
      <c r="N6" s="5"/>
      <c r="O6" s="5"/>
      <c r="P6" s="5"/>
      <c r="Q6" s="5"/>
      <c r="R6" s="5"/>
      <c r="S6" s="5"/>
      <c r="T6" s="5"/>
      <c r="U6" s="5"/>
      <c r="V6" s="5"/>
      <c r="W6" s="5"/>
      <c r="X6" s="5"/>
      <c r="Y6" s="5"/>
      <c r="Z6" s="5"/>
    </row>
    <row r="7">
      <c r="A7" s="9"/>
      <c r="B7" s="10"/>
      <c r="C7" s="10"/>
      <c r="D7" s="16"/>
      <c r="E7" s="17"/>
      <c r="F7" s="10"/>
      <c r="G7" s="10"/>
      <c r="H7" s="11"/>
      <c r="I7" s="4"/>
      <c r="J7" s="5"/>
      <c r="K7" s="5"/>
      <c r="L7" s="5"/>
      <c r="M7" s="5"/>
      <c r="N7" s="5"/>
      <c r="O7" s="5"/>
      <c r="P7" s="5"/>
      <c r="Q7" s="5"/>
      <c r="R7" s="5"/>
      <c r="S7" s="5"/>
      <c r="T7" s="5"/>
      <c r="U7" s="5"/>
      <c r="V7" s="5"/>
      <c r="W7" s="5"/>
      <c r="X7" s="5"/>
      <c r="Y7" s="5"/>
      <c r="Z7" s="5"/>
    </row>
    <row r="8">
      <c r="A8" s="18"/>
      <c r="B8" s="19"/>
      <c r="C8" s="19"/>
      <c r="D8" s="19"/>
      <c r="E8" s="19"/>
      <c r="F8" s="19"/>
      <c r="G8" s="19"/>
      <c r="H8" s="20"/>
      <c r="I8" s="4"/>
      <c r="J8" s="5"/>
      <c r="K8" s="5"/>
      <c r="L8" s="5"/>
      <c r="M8" s="5"/>
      <c r="N8" s="5"/>
      <c r="O8" s="5"/>
      <c r="P8" s="5"/>
      <c r="Q8" s="5"/>
      <c r="R8" s="5"/>
      <c r="S8" s="5"/>
      <c r="T8" s="5"/>
      <c r="U8" s="5"/>
      <c r="V8" s="5"/>
      <c r="W8" s="5"/>
      <c r="X8" s="5"/>
      <c r="Y8" s="5"/>
      <c r="Z8" s="5"/>
    </row>
    <row r="9">
      <c r="A9" s="6" t="s">
        <v>2</v>
      </c>
      <c r="B9" s="7"/>
      <c r="C9" s="7"/>
      <c r="D9" s="7"/>
      <c r="E9" s="7"/>
      <c r="F9" s="7"/>
      <c r="G9" s="7"/>
      <c r="H9" s="8"/>
      <c r="I9" s="4"/>
      <c r="J9" s="5"/>
      <c r="K9" s="5"/>
      <c r="L9" s="5"/>
      <c r="M9" s="5"/>
      <c r="N9" s="5"/>
      <c r="O9" s="5"/>
      <c r="P9" s="5"/>
      <c r="Q9" s="5"/>
      <c r="R9" s="5"/>
      <c r="S9" s="5"/>
      <c r="T9" s="5"/>
      <c r="U9" s="5"/>
      <c r="V9" s="5"/>
      <c r="W9" s="5"/>
      <c r="X9" s="5"/>
      <c r="Y9" s="5"/>
      <c r="Z9" s="5"/>
    </row>
    <row r="10">
      <c r="A10" s="6" t="s">
        <v>3</v>
      </c>
      <c r="B10" s="7"/>
      <c r="C10" s="7"/>
      <c r="D10" s="7"/>
      <c r="E10" s="7"/>
      <c r="F10" s="7"/>
      <c r="G10" s="7"/>
      <c r="H10" s="8"/>
      <c r="I10" s="4"/>
      <c r="J10" s="5"/>
      <c r="K10" s="5"/>
      <c r="L10" s="5"/>
      <c r="M10" s="5"/>
      <c r="N10" s="5"/>
      <c r="O10" s="5"/>
      <c r="P10" s="5"/>
      <c r="Q10" s="5"/>
      <c r="R10" s="5"/>
      <c r="S10" s="5"/>
      <c r="T10" s="5"/>
      <c r="U10" s="5"/>
      <c r="V10" s="5"/>
      <c r="W10" s="5"/>
      <c r="X10" s="5"/>
      <c r="Y10" s="5"/>
      <c r="Z10" s="5"/>
    </row>
    <row r="11">
      <c r="A11" s="6" t="s">
        <v>4</v>
      </c>
      <c r="B11" s="7"/>
      <c r="C11" s="7"/>
      <c r="D11" s="7"/>
      <c r="E11" s="7"/>
      <c r="F11" s="7"/>
      <c r="G11" s="7"/>
      <c r="H11" s="8"/>
      <c r="I11" s="4"/>
      <c r="J11" s="5"/>
      <c r="K11" s="5"/>
      <c r="L11" s="5"/>
      <c r="M11" s="5"/>
      <c r="N11" s="5"/>
      <c r="O11" s="5"/>
      <c r="P11" s="5"/>
      <c r="Q11" s="5"/>
      <c r="R11" s="5"/>
      <c r="S11" s="5"/>
      <c r="T11" s="5"/>
      <c r="U11" s="5"/>
      <c r="V11" s="5"/>
      <c r="W11" s="5"/>
      <c r="X11" s="5"/>
      <c r="Y11" s="5"/>
      <c r="Z11" s="5"/>
    </row>
    <row r="12">
      <c r="A12" s="21"/>
      <c r="B12" s="22"/>
      <c r="C12" s="10"/>
      <c r="D12" s="10"/>
      <c r="E12" s="10"/>
      <c r="F12" s="10"/>
      <c r="G12" s="10"/>
      <c r="H12" s="11"/>
      <c r="I12" s="4"/>
      <c r="J12" s="5"/>
      <c r="K12" s="5"/>
      <c r="L12" s="5"/>
      <c r="M12" s="5"/>
      <c r="N12" s="5"/>
      <c r="O12" s="5"/>
      <c r="P12" s="5"/>
      <c r="Q12" s="5"/>
      <c r="R12" s="5"/>
      <c r="S12" s="5"/>
      <c r="T12" s="5"/>
      <c r="U12" s="5"/>
      <c r="V12" s="5"/>
      <c r="W12" s="5"/>
      <c r="X12" s="5"/>
      <c r="Y12" s="5"/>
      <c r="Z12" s="5"/>
    </row>
    <row r="13">
      <c r="A13" s="21"/>
      <c r="B13" s="22"/>
      <c r="C13" s="23" t="s">
        <v>5</v>
      </c>
      <c r="D13" s="24"/>
      <c r="E13" s="25" t="s">
        <v>6</v>
      </c>
      <c r="F13" s="24"/>
      <c r="G13" s="10"/>
      <c r="H13" s="11"/>
      <c r="I13" s="4"/>
      <c r="J13" s="5"/>
      <c r="K13" s="5"/>
      <c r="L13" s="5"/>
      <c r="M13" s="5"/>
      <c r="N13" s="5"/>
      <c r="O13" s="5"/>
      <c r="P13" s="5"/>
      <c r="Q13" s="5"/>
      <c r="R13" s="5"/>
      <c r="S13" s="5"/>
      <c r="T13" s="5"/>
      <c r="U13" s="5"/>
      <c r="V13" s="5"/>
      <c r="W13" s="5"/>
      <c r="X13" s="5"/>
      <c r="Y13" s="5"/>
      <c r="Z13" s="5"/>
    </row>
    <row r="14">
      <c r="A14" s="26"/>
      <c r="B14" s="10"/>
      <c r="C14" s="23" t="s">
        <v>7</v>
      </c>
      <c r="D14" s="24"/>
      <c r="E14" s="25">
        <v>6.0</v>
      </c>
      <c r="F14" s="24"/>
      <c r="G14" s="10"/>
      <c r="H14" s="11"/>
      <c r="I14" s="4"/>
      <c r="J14" s="5"/>
      <c r="K14" s="5"/>
      <c r="L14" s="5"/>
      <c r="M14" s="5"/>
      <c r="N14" s="5"/>
      <c r="O14" s="5"/>
      <c r="P14" s="5"/>
      <c r="Q14" s="5"/>
      <c r="R14" s="5"/>
      <c r="S14" s="5"/>
      <c r="T14" s="5"/>
      <c r="U14" s="5"/>
      <c r="V14" s="5"/>
      <c r="W14" s="5"/>
      <c r="X14" s="5"/>
      <c r="Y14" s="5"/>
      <c r="Z14" s="5"/>
    </row>
    <row r="15">
      <c r="A15" s="26"/>
      <c r="B15" s="10"/>
      <c r="C15" s="27" t="s">
        <v>8</v>
      </c>
      <c r="D15" s="13"/>
      <c r="E15" s="28" t="s">
        <v>9</v>
      </c>
      <c r="F15" s="29"/>
      <c r="G15" s="13"/>
      <c r="H15" s="11"/>
      <c r="I15" s="4"/>
      <c r="J15" s="5"/>
      <c r="K15" s="5"/>
      <c r="L15" s="5"/>
      <c r="M15" s="5"/>
      <c r="N15" s="5"/>
      <c r="O15" s="5"/>
      <c r="P15" s="5"/>
      <c r="Q15" s="5"/>
      <c r="R15" s="5"/>
      <c r="S15" s="5"/>
      <c r="T15" s="5"/>
      <c r="U15" s="5"/>
      <c r="V15" s="5"/>
      <c r="W15" s="5"/>
      <c r="X15" s="5"/>
      <c r="Y15" s="5"/>
      <c r="Z15" s="5"/>
    </row>
    <row r="16">
      <c r="A16" s="26"/>
      <c r="B16" s="10"/>
      <c r="C16" s="16"/>
      <c r="D16" s="17"/>
      <c r="E16" s="16"/>
      <c r="F16" s="30"/>
      <c r="G16" s="17"/>
      <c r="H16" s="11"/>
      <c r="I16" s="4"/>
      <c r="J16" s="5"/>
      <c r="K16" s="5"/>
      <c r="L16" s="5"/>
      <c r="M16" s="5"/>
      <c r="N16" s="5"/>
      <c r="O16" s="5"/>
      <c r="P16" s="5"/>
      <c r="Q16" s="5"/>
      <c r="R16" s="5"/>
      <c r="S16" s="5"/>
      <c r="T16" s="5"/>
      <c r="U16" s="5"/>
      <c r="V16" s="5"/>
      <c r="W16" s="5"/>
      <c r="X16" s="5"/>
      <c r="Y16" s="5"/>
      <c r="Z16" s="5"/>
    </row>
    <row r="17">
      <c r="A17" s="26"/>
      <c r="B17" s="10"/>
      <c r="C17" s="23" t="s">
        <v>10</v>
      </c>
      <c r="D17" s="24"/>
      <c r="E17" s="10"/>
      <c r="F17" s="10"/>
      <c r="G17" s="10"/>
      <c r="H17" s="11"/>
      <c r="I17" s="4"/>
      <c r="J17" s="5"/>
      <c r="K17" s="5"/>
      <c r="L17" s="5"/>
      <c r="M17" s="5"/>
      <c r="N17" s="5"/>
      <c r="O17" s="5"/>
      <c r="P17" s="5"/>
      <c r="Q17" s="5"/>
      <c r="R17" s="5"/>
      <c r="S17" s="5"/>
      <c r="T17" s="5"/>
      <c r="U17" s="5"/>
      <c r="V17" s="5"/>
      <c r="W17" s="5"/>
      <c r="X17" s="5"/>
      <c r="Y17" s="5"/>
      <c r="Z17" s="5"/>
    </row>
    <row r="18">
      <c r="A18" s="26"/>
      <c r="B18" s="31" t="s">
        <v>11</v>
      </c>
      <c r="C18" s="24"/>
      <c r="D18" s="32" t="s">
        <v>12</v>
      </c>
      <c r="E18" s="31" t="s">
        <v>13</v>
      </c>
      <c r="F18" s="7"/>
      <c r="G18" s="24"/>
      <c r="H18" s="11"/>
      <c r="I18" s="4"/>
      <c r="J18" s="5"/>
      <c r="K18" s="5"/>
      <c r="L18" s="5"/>
      <c r="M18" s="5"/>
      <c r="N18" s="5"/>
      <c r="O18" s="5"/>
      <c r="P18" s="5"/>
      <c r="Q18" s="5"/>
      <c r="R18" s="5"/>
      <c r="S18" s="5"/>
      <c r="T18" s="5"/>
      <c r="U18" s="5"/>
      <c r="V18" s="5"/>
      <c r="W18" s="5"/>
      <c r="X18" s="5"/>
      <c r="Y18" s="5"/>
      <c r="Z18" s="5"/>
    </row>
    <row r="19">
      <c r="A19" s="26"/>
      <c r="B19" s="31" t="s">
        <v>14</v>
      </c>
      <c r="C19" s="24"/>
      <c r="D19" s="32" t="s">
        <v>15</v>
      </c>
      <c r="E19" s="31" t="s">
        <v>16</v>
      </c>
      <c r="F19" s="7"/>
      <c r="G19" s="24"/>
      <c r="H19" s="11"/>
      <c r="I19" s="4"/>
      <c r="J19" s="5"/>
      <c r="K19" s="5"/>
      <c r="L19" s="5"/>
      <c r="M19" s="5"/>
      <c r="N19" s="5"/>
      <c r="O19" s="5"/>
      <c r="P19" s="5"/>
      <c r="Q19" s="5"/>
      <c r="R19" s="5"/>
      <c r="S19" s="5"/>
      <c r="T19" s="5"/>
      <c r="U19" s="5"/>
      <c r="V19" s="5"/>
      <c r="W19" s="5"/>
      <c r="X19" s="5"/>
      <c r="Y19" s="5"/>
      <c r="Z19" s="5"/>
    </row>
    <row r="20">
      <c r="A20" s="26"/>
      <c r="B20" s="31" t="s">
        <v>17</v>
      </c>
      <c r="C20" s="24"/>
      <c r="D20" s="32" t="s">
        <v>18</v>
      </c>
      <c r="E20" s="31" t="s">
        <v>19</v>
      </c>
      <c r="F20" s="7"/>
      <c r="G20" s="24"/>
      <c r="H20" s="11"/>
      <c r="I20" s="4"/>
      <c r="J20" s="5"/>
      <c r="K20" s="5"/>
      <c r="L20" s="5"/>
      <c r="M20" s="5"/>
      <c r="N20" s="5"/>
      <c r="O20" s="5"/>
      <c r="P20" s="5"/>
      <c r="Q20" s="5"/>
      <c r="R20" s="5"/>
      <c r="S20" s="5"/>
      <c r="T20" s="5"/>
      <c r="U20" s="5"/>
      <c r="V20" s="5"/>
      <c r="W20" s="5"/>
      <c r="X20" s="5"/>
      <c r="Y20" s="5"/>
      <c r="Z20" s="5"/>
    </row>
    <row r="21">
      <c r="A21" s="26"/>
      <c r="B21" s="31" t="s">
        <v>20</v>
      </c>
      <c r="C21" s="24"/>
      <c r="D21" s="32" t="s">
        <v>21</v>
      </c>
      <c r="E21" s="31" t="s">
        <v>22</v>
      </c>
      <c r="F21" s="7"/>
      <c r="G21" s="24"/>
      <c r="H21" s="11"/>
      <c r="I21" s="4"/>
      <c r="J21" s="5"/>
      <c r="K21" s="5"/>
      <c r="L21" s="5"/>
      <c r="M21" s="5"/>
      <c r="N21" s="5"/>
      <c r="O21" s="5"/>
      <c r="P21" s="5"/>
      <c r="Q21" s="5"/>
      <c r="R21" s="5"/>
      <c r="S21" s="5"/>
      <c r="T21" s="5"/>
      <c r="U21" s="5"/>
      <c r="V21" s="5"/>
      <c r="W21" s="5"/>
      <c r="X21" s="5"/>
      <c r="Y21" s="5"/>
      <c r="Z21" s="5"/>
    </row>
    <row r="22">
      <c r="A22" s="33"/>
      <c r="B22" s="34" t="s">
        <v>23</v>
      </c>
      <c r="C22" s="24"/>
      <c r="D22" s="35" t="s">
        <v>24</v>
      </c>
      <c r="E22" s="34" t="s">
        <v>25</v>
      </c>
      <c r="F22" s="7"/>
      <c r="G22" s="24"/>
      <c r="H22" s="36"/>
      <c r="I22" s="37"/>
      <c r="J22" s="38"/>
      <c r="K22" s="38"/>
      <c r="L22" s="38"/>
      <c r="M22" s="38"/>
      <c r="N22" s="38"/>
      <c r="O22" s="38"/>
      <c r="P22" s="38"/>
      <c r="Q22" s="38"/>
      <c r="R22" s="38"/>
      <c r="S22" s="38"/>
      <c r="T22" s="38"/>
      <c r="U22" s="38"/>
      <c r="V22" s="38"/>
      <c r="W22" s="38"/>
      <c r="X22" s="38"/>
      <c r="Y22" s="38"/>
      <c r="Z22" s="38"/>
    </row>
    <row r="23">
      <c r="A23" s="39"/>
      <c r="B23" s="40"/>
      <c r="C23" s="24"/>
      <c r="D23" s="10"/>
      <c r="E23" s="40"/>
      <c r="F23" s="7"/>
      <c r="G23" s="24"/>
      <c r="H23" s="11"/>
      <c r="I23" s="4"/>
      <c r="J23" s="5"/>
      <c r="K23" s="5"/>
      <c r="L23" s="5"/>
      <c r="M23" s="5"/>
      <c r="N23" s="5"/>
      <c r="O23" s="5"/>
      <c r="P23" s="5"/>
      <c r="Q23" s="5"/>
      <c r="R23" s="5"/>
      <c r="S23" s="5"/>
      <c r="T23" s="5"/>
      <c r="U23" s="5"/>
      <c r="V23" s="5"/>
      <c r="W23" s="5"/>
      <c r="X23" s="5"/>
      <c r="Y23" s="5"/>
      <c r="Z23" s="5"/>
    </row>
    <row r="24">
      <c r="A24" s="41"/>
      <c r="B24" s="10"/>
      <c r="C24" s="10"/>
      <c r="D24" s="10"/>
      <c r="E24" s="10"/>
      <c r="F24" s="10"/>
      <c r="G24" s="10"/>
      <c r="H24" s="11"/>
      <c r="I24" s="4"/>
      <c r="J24" s="5"/>
      <c r="K24" s="5"/>
      <c r="L24" s="5"/>
      <c r="M24" s="5"/>
      <c r="N24" s="5"/>
      <c r="O24" s="5"/>
      <c r="P24" s="5"/>
      <c r="Q24" s="5"/>
      <c r="R24" s="5"/>
      <c r="S24" s="5"/>
      <c r="T24" s="5"/>
      <c r="U24" s="5"/>
      <c r="V24" s="5"/>
      <c r="W24" s="5"/>
      <c r="X24" s="5"/>
      <c r="Y24" s="5"/>
      <c r="Z24" s="5"/>
    </row>
    <row r="25">
      <c r="A25" s="41"/>
      <c r="B25" s="10"/>
      <c r="C25" s="10"/>
      <c r="D25" s="10"/>
      <c r="E25" s="10"/>
      <c r="F25" s="10"/>
      <c r="G25" s="10"/>
      <c r="H25" s="11"/>
      <c r="I25" s="4"/>
      <c r="J25" s="5"/>
      <c r="K25" s="5"/>
      <c r="L25" s="5"/>
      <c r="M25" s="5"/>
      <c r="N25" s="5"/>
      <c r="O25" s="5"/>
      <c r="P25" s="5"/>
      <c r="Q25" s="5"/>
      <c r="R25" s="5"/>
      <c r="S25" s="5"/>
      <c r="T25" s="5"/>
      <c r="U25" s="5"/>
      <c r="V25" s="5"/>
      <c r="W25" s="5"/>
      <c r="X25" s="5"/>
      <c r="Y25" s="5"/>
      <c r="Z25" s="5"/>
    </row>
    <row r="26">
      <c r="A26" s="41"/>
      <c r="B26" s="10"/>
      <c r="C26" s="10"/>
      <c r="D26" s="10"/>
      <c r="E26" s="10"/>
      <c r="F26" s="10"/>
      <c r="G26" s="10"/>
      <c r="H26" s="11"/>
      <c r="I26" s="4"/>
      <c r="J26" s="5"/>
      <c r="K26" s="5"/>
      <c r="L26" s="5"/>
      <c r="M26" s="5"/>
      <c r="N26" s="5"/>
      <c r="O26" s="5"/>
      <c r="P26" s="5"/>
      <c r="Q26" s="5"/>
      <c r="R26" s="5"/>
      <c r="S26" s="5"/>
      <c r="T26" s="5"/>
      <c r="U26" s="5"/>
      <c r="V26" s="5"/>
      <c r="W26" s="5"/>
      <c r="X26" s="5"/>
      <c r="Y26" s="5"/>
      <c r="Z26" s="5"/>
    </row>
    <row r="27">
      <c r="A27" s="41"/>
      <c r="B27" s="10"/>
      <c r="C27" s="10"/>
      <c r="D27" s="10"/>
      <c r="E27" s="10"/>
      <c r="F27" s="10"/>
      <c r="G27" s="10"/>
      <c r="H27" s="11"/>
      <c r="I27" s="4"/>
      <c r="J27" s="5"/>
      <c r="K27" s="5"/>
      <c r="L27" s="5"/>
      <c r="M27" s="5"/>
      <c r="N27" s="5"/>
      <c r="O27" s="5"/>
      <c r="P27" s="5"/>
      <c r="Q27" s="5"/>
      <c r="R27" s="5"/>
      <c r="S27" s="5"/>
      <c r="T27" s="5"/>
      <c r="U27" s="5"/>
      <c r="V27" s="5"/>
      <c r="W27" s="5"/>
      <c r="X27" s="5"/>
      <c r="Y27" s="5"/>
      <c r="Z27" s="5"/>
    </row>
    <row r="28">
      <c r="A28" s="41"/>
      <c r="B28" s="10"/>
      <c r="C28" s="10"/>
      <c r="D28" s="10"/>
      <c r="E28" s="10"/>
      <c r="F28" s="10"/>
      <c r="G28" s="10"/>
      <c r="H28" s="11"/>
      <c r="I28" s="4"/>
      <c r="J28" s="5"/>
      <c r="K28" s="5"/>
      <c r="L28" s="5"/>
      <c r="M28" s="5"/>
      <c r="N28" s="5"/>
      <c r="O28" s="5"/>
      <c r="P28" s="5"/>
      <c r="Q28" s="5"/>
      <c r="R28" s="5"/>
      <c r="S28" s="5"/>
      <c r="T28" s="5"/>
      <c r="U28" s="5"/>
      <c r="V28" s="5"/>
      <c r="W28" s="5"/>
      <c r="X28" s="5"/>
      <c r="Y28" s="5"/>
      <c r="Z28" s="5"/>
    </row>
    <row r="29">
      <c r="A29" s="41"/>
      <c r="B29" s="10"/>
      <c r="C29" s="42" t="s">
        <v>26</v>
      </c>
      <c r="D29" s="7"/>
      <c r="E29" s="24"/>
      <c r="F29" s="10"/>
      <c r="G29" s="10"/>
      <c r="H29" s="11"/>
      <c r="I29" s="4"/>
      <c r="J29" s="5"/>
      <c r="K29" s="5"/>
      <c r="L29" s="5"/>
      <c r="M29" s="5"/>
      <c r="N29" s="5"/>
      <c r="O29" s="5"/>
      <c r="P29" s="5"/>
      <c r="Q29" s="5"/>
      <c r="R29" s="5"/>
      <c r="S29" s="5"/>
      <c r="T29" s="5"/>
      <c r="U29" s="5"/>
      <c r="V29" s="5"/>
      <c r="W29" s="5"/>
      <c r="X29" s="5"/>
      <c r="Y29" s="5"/>
      <c r="Z29" s="5"/>
    </row>
    <row r="30">
      <c r="A30" s="41"/>
      <c r="B30" s="10"/>
      <c r="C30" s="10"/>
      <c r="D30" s="10"/>
      <c r="E30" s="10"/>
      <c r="F30" s="10"/>
      <c r="G30" s="10"/>
      <c r="H30" s="11"/>
      <c r="I30" s="4"/>
      <c r="J30" s="5"/>
      <c r="K30" s="5"/>
      <c r="L30" s="5"/>
      <c r="M30" s="5"/>
      <c r="N30" s="5"/>
      <c r="O30" s="5"/>
      <c r="P30" s="5"/>
      <c r="Q30" s="5"/>
      <c r="R30" s="5"/>
      <c r="S30" s="5"/>
      <c r="T30" s="5"/>
      <c r="U30" s="5"/>
      <c r="V30" s="5"/>
      <c r="W30" s="5"/>
      <c r="X30" s="5"/>
      <c r="Y30" s="5"/>
      <c r="Z30" s="5"/>
    </row>
    <row r="31">
      <c r="A31" s="43"/>
      <c r="B31" s="44"/>
      <c r="C31" s="44"/>
      <c r="D31" s="44"/>
      <c r="E31" s="44"/>
      <c r="F31" s="44"/>
      <c r="G31" s="44"/>
      <c r="H31" s="45"/>
      <c r="I31" s="4"/>
      <c r="J31" s="5"/>
      <c r="K31" s="5"/>
      <c r="L31" s="5"/>
      <c r="M31" s="5"/>
      <c r="N31" s="5"/>
      <c r="O31" s="5"/>
      <c r="P31" s="5"/>
      <c r="Q31" s="5"/>
      <c r="R31" s="5"/>
      <c r="S31" s="5"/>
      <c r="T31" s="5"/>
      <c r="U31" s="5"/>
      <c r="V31" s="5"/>
      <c r="W31" s="5"/>
      <c r="X31" s="5"/>
      <c r="Y31" s="5"/>
      <c r="Z31" s="5"/>
    </row>
    <row r="32">
      <c r="A32" s="46"/>
      <c r="B32" s="47"/>
      <c r="C32" s="47"/>
      <c r="D32" s="47"/>
      <c r="E32" s="47"/>
      <c r="F32" s="47"/>
      <c r="G32" s="47"/>
      <c r="H32" s="47"/>
      <c r="I32" s="5"/>
      <c r="J32" s="5"/>
      <c r="K32" s="5"/>
      <c r="L32" s="5"/>
      <c r="M32" s="5"/>
      <c r="N32" s="5"/>
      <c r="O32" s="5"/>
      <c r="P32" s="5"/>
      <c r="Q32" s="5"/>
      <c r="R32" s="5"/>
      <c r="S32" s="5"/>
      <c r="T32" s="5"/>
      <c r="U32" s="5"/>
      <c r="V32" s="5"/>
      <c r="W32" s="5"/>
      <c r="X32" s="5"/>
      <c r="Y32" s="5"/>
      <c r="Z32" s="5"/>
    </row>
    <row r="33">
      <c r="A33" s="48"/>
      <c r="B33" s="10"/>
      <c r="C33" s="10"/>
      <c r="D33" s="10"/>
      <c r="E33" s="10"/>
      <c r="F33" s="10"/>
      <c r="G33" s="10"/>
      <c r="H33" s="10"/>
      <c r="I33" s="5"/>
      <c r="J33" s="5"/>
      <c r="K33" s="5"/>
      <c r="L33" s="5"/>
      <c r="M33" s="5"/>
      <c r="N33" s="5"/>
      <c r="O33" s="5"/>
      <c r="P33" s="5"/>
      <c r="Q33" s="5"/>
      <c r="R33" s="5"/>
      <c r="S33" s="5"/>
      <c r="T33" s="5"/>
      <c r="U33" s="5"/>
      <c r="V33" s="5"/>
      <c r="W33" s="5"/>
      <c r="X33" s="5"/>
      <c r="Y33" s="5"/>
      <c r="Z33" s="5"/>
    </row>
    <row r="34">
      <c r="A34" s="48"/>
      <c r="B34" s="10"/>
      <c r="C34" s="10"/>
      <c r="D34" s="10"/>
      <c r="E34" s="10"/>
      <c r="F34" s="10"/>
      <c r="G34" s="10"/>
      <c r="H34" s="10"/>
      <c r="I34" s="5"/>
      <c r="J34" s="5"/>
      <c r="K34" s="5"/>
      <c r="L34" s="5"/>
      <c r="M34" s="5"/>
      <c r="N34" s="5"/>
      <c r="O34" s="5"/>
      <c r="P34" s="5"/>
      <c r="Q34" s="5"/>
      <c r="R34" s="5"/>
      <c r="S34" s="5"/>
      <c r="T34" s="5"/>
      <c r="U34" s="5"/>
      <c r="V34" s="5"/>
      <c r="W34" s="5"/>
      <c r="X34" s="5"/>
      <c r="Y34" s="5"/>
      <c r="Z34" s="5"/>
    </row>
    <row r="35">
      <c r="A35" s="48"/>
      <c r="B35" s="10"/>
      <c r="C35" s="10"/>
      <c r="D35" s="10"/>
      <c r="E35" s="10"/>
      <c r="F35" s="10"/>
      <c r="G35" s="10"/>
      <c r="H35" s="10"/>
      <c r="I35" s="5"/>
      <c r="J35" s="5"/>
      <c r="K35" s="5"/>
      <c r="L35" s="5"/>
      <c r="M35" s="5"/>
      <c r="N35" s="5"/>
      <c r="O35" s="5"/>
      <c r="P35" s="5"/>
      <c r="Q35" s="5"/>
      <c r="R35" s="5"/>
      <c r="S35" s="5"/>
      <c r="T35" s="5"/>
      <c r="U35" s="5"/>
      <c r="V35" s="5"/>
      <c r="W35" s="5"/>
      <c r="X35" s="5"/>
      <c r="Y35" s="5"/>
      <c r="Z35" s="5"/>
    </row>
    <row r="36">
      <c r="A36" s="48"/>
      <c r="B36" s="10"/>
      <c r="C36" s="10"/>
      <c r="D36" s="10"/>
      <c r="E36" s="10"/>
      <c r="F36" s="10"/>
      <c r="G36" s="10"/>
      <c r="H36" s="10"/>
      <c r="I36" s="5"/>
      <c r="J36" s="5"/>
      <c r="K36" s="5"/>
      <c r="L36" s="5"/>
      <c r="M36" s="5"/>
      <c r="N36" s="5"/>
      <c r="O36" s="5"/>
      <c r="P36" s="5"/>
      <c r="Q36" s="5"/>
      <c r="R36" s="5"/>
      <c r="S36" s="5"/>
      <c r="T36" s="5"/>
      <c r="U36" s="5"/>
      <c r="V36" s="5"/>
      <c r="W36" s="5"/>
      <c r="X36" s="5"/>
      <c r="Y36" s="5"/>
      <c r="Z36" s="5"/>
    </row>
    <row r="37">
      <c r="A37" s="48"/>
      <c r="B37" s="10"/>
      <c r="C37" s="10"/>
      <c r="D37" s="10"/>
      <c r="E37" s="10"/>
      <c r="F37" s="10"/>
      <c r="G37" s="10"/>
      <c r="H37" s="10"/>
      <c r="I37" s="5"/>
      <c r="J37" s="5"/>
      <c r="K37" s="5"/>
      <c r="L37" s="5"/>
      <c r="M37" s="5"/>
      <c r="N37" s="5"/>
      <c r="O37" s="5"/>
      <c r="P37" s="5"/>
      <c r="Q37" s="5"/>
      <c r="R37" s="5"/>
      <c r="S37" s="5"/>
      <c r="T37" s="5"/>
      <c r="U37" s="5"/>
      <c r="V37" s="5"/>
      <c r="W37" s="5"/>
      <c r="X37" s="5"/>
      <c r="Y37" s="5"/>
      <c r="Z37" s="5"/>
    </row>
    <row r="38">
      <c r="A38" s="48"/>
      <c r="B38" s="10"/>
      <c r="C38" s="10"/>
      <c r="D38" s="10"/>
      <c r="E38" s="10"/>
      <c r="F38" s="10"/>
      <c r="G38" s="10"/>
      <c r="H38" s="10"/>
      <c r="I38" s="5"/>
      <c r="J38" s="5"/>
      <c r="K38" s="5"/>
      <c r="L38" s="5"/>
      <c r="M38" s="5"/>
      <c r="N38" s="5"/>
      <c r="O38" s="5"/>
      <c r="P38" s="5"/>
      <c r="Q38" s="5"/>
      <c r="R38" s="5"/>
      <c r="S38" s="5"/>
      <c r="T38" s="5"/>
      <c r="U38" s="5"/>
      <c r="V38" s="5"/>
      <c r="W38" s="5"/>
      <c r="X38" s="5"/>
      <c r="Y38" s="5"/>
      <c r="Z38" s="5"/>
    </row>
    <row r="39">
      <c r="A39" s="48"/>
      <c r="B39" s="10"/>
      <c r="C39" s="10"/>
      <c r="D39" s="10"/>
      <c r="E39" s="10"/>
      <c r="F39" s="10"/>
      <c r="G39" s="10"/>
      <c r="H39" s="10"/>
      <c r="I39" s="5"/>
      <c r="J39" s="5"/>
      <c r="K39" s="5"/>
      <c r="L39" s="5"/>
      <c r="M39" s="5"/>
      <c r="N39" s="5"/>
      <c r="O39" s="5"/>
      <c r="P39" s="5"/>
      <c r="Q39" s="5"/>
      <c r="R39" s="5"/>
      <c r="S39" s="5"/>
      <c r="T39" s="5"/>
      <c r="U39" s="5"/>
      <c r="V39" s="5"/>
      <c r="W39" s="5"/>
      <c r="X39" s="5"/>
      <c r="Y39" s="5"/>
      <c r="Z39" s="5"/>
    </row>
    <row r="40">
      <c r="A40" s="48"/>
      <c r="B40" s="10"/>
      <c r="C40" s="10"/>
      <c r="D40" s="10"/>
      <c r="E40" s="10"/>
      <c r="F40" s="10"/>
      <c r="G40" s="10"/>
      <c r="H40" s="10"/>
      <c r="I40" s="5"/>
      <c r="J40" s="5"/>
      <c r="K40" s="5"/>
      <c r="L40" s="5"/>
      <c r="M40" s="5"/>
      <c r="N40" s="5"/>
      <c r="O40" s="5"/>
      <c r="P40" s="5"/>
      <c r="Q40" s="5"/>
      <c r="R40" s="5"/>
      <c r="S40" s="5"/>
      <c r="T40" s="5"/>
      <c r="U40" s="5"/>
      <c r="V40" s="5"/>
      <c r="W40" s="5"/>
      <c r="X40" s="5"/>
      <c r="Y40" s="5"/>
      <c r="Z40" s="5"/>
    </row>
    <row r="41">
      <c r="A41" s="48"/>
      <c r="B41" s="10"/>
      <c r="C41" s="10"/>
      <c r="D41" s="10"/>
      <c r="E41" s="10"/>
      <c r="F41" s="10"/>
      <c r="G41" s="10"/>
      <c r="H41" s="10"/>
      <c r="I41" s="5"/>
      <c r="J41" s="5"/>
      <c r="K41" s="5"/>
      <c r="L41" s="5"/>
      <c r="M41" s="5"/>
      <c r="N41" s="5"/>
      <c r="O41" s="5"/>
      <c r="P41" s="5"/>
      <c r="Q41" s="5"/>
      <c r="R41" s="5"/>
      <c r="S41" s="5"/>
      <c r="T41" s="5"/>
      <c r="U41" s="5"/>
      <c r="V41" s="5"/>
      <c r="W41" s="5"/>
      <c r="X41" s="5"/>
      <c r="Y41" s="5"/>
      <c r="Z41" s="5"/>
    </row>
    <row r="42">
      <c r="A42" s="48"/>
      <c r="B42" s="10"/>
      <c r="C42" s="10"/>
      <c r="D42" s="10"/>
      <c r="E42" s="10"/>
      <c r="F42" s="10"/>
      <c r="G42" s="10"/>
      <c r="H42" s="10"/>
      <c r="I42" s="5"/>
      <c r="J42" s="5"/>
      <c r="K42" s="5"/>
      <c r="L42" s="5"/>
      <c r="M42" s="5"/>
      <c r="N42" s="5"/>
      <c r="O42" s="5"/>
      <c r="P42" s="5"/>
      <c r="Q42" s="5"/>
      <c r="R42" s="5"/>
      <c r="S42" s="5"/>
      <c r="T42" s="5"/>
      <c r="U42" s="5"/>
      <c r="V42" s="5"/>
      <c r="W42" s="5"/>
      <c r="X42" s="5"/>
      <c r="Y42" s="5"/>
      <c r="Z42" s="5"/>
    </row>
    <row r="43">
      <c r="A43" s="48"/>
      <c r="B43" s="10"/>
      <c r="C43" s="10"/>
      <c r="D43" s="10"/>
      <c r="E43" s="10"/>
      <c r="F43" s="10"/>
      <c r="G43" s="10"/>
      <c r="H43" s="10"/>
      <c r="I43" s="5"/>
      <c r="J43" s="5"/>
      <c r="K43" s="5"/>
      <c r="L43" s="5"/>
      <c r="M43" s="5"/>
      <c r="N43" s="5"/>
      <c r="O43" s="5"/>
      <c r="P43" s="5"/>
      <c r="Q43" s="5"/>
      <c r="R43" s="5"/>
      <c r="S43" s="5"/>
      <c r="T43" s="5"/>
      <c r="U43" s="5"/>
      <c r="V43" s="5"/>
      <c r="W43" s="5"/>
      <c r="X43" s="5"/>
      <c r="Y43" s="5"/>
      <c r="Z43" s="5"/>
    </row>
    <row r="44">
      <c r="A44" s="48"/>
      <c r="B44" s="10"/>
      <c r="C44" s="10"/>
      <c r="D44" s="10"/>
      <c r="E44" s="10"/>
      <c r="F44" s="10"/>
      <c r="G44" s="10"/>
      <c r="H44" s="10"/>
      <c r="I44" s="5"/>
      <c r="J44" s="5"/>
      <c r="K44" s="5"/>
      <c r="L44" s="5"/>
      <c r="M44" s="5"/>
      <c r="N44" s="5"/>
      <c r="O44" s="5"/>
      <c r="P44" s="5"/>
      <c r="Q44" s="5"/>
      <c r="R44" s="5"/>
      <c r="S44" s="5"/>
      <c r="T44" s="5"/>
      <c r="U44" s="5"/>
      <c r="V44" s="5"/>
      <c r="W44" s="5"/>
      <c r="X44" s="5"/>
      <c r="Y44" s="5"/>
      <c r="Z44" s="5"/>
    </row>
    <row r="45">
      <c r="A45" s="48"/>
      <c r="B45" s="10"/>
      <c r="C45" s="10"/>
      <c r="D45" s="10"/>
      <c r="E45" s="10"/>
      <c r="F45" s="10"/>
      <c r="G45" s="10"/>
      <c r="H45" s="10"/>
      <c r="I45" s="5"/>
      <c r="J45" s="5"/>
      <c r="K45" s="5"/>
      <c r="L45" s="5"/>
      <c r="M45" s="5"/>
      <c r="N45" s="5"/>
      <c r="O45" s="5"/>
      <c r="P45" s="5"/>
      <c r="Q45" s="5"/>
      <c r="R45" s="5"/>
      <c r="S45" s="5"/>
      <c r="T45" s="5"/>
      <c r="U45" s="5"/>
      <c r="V45" s="5"/>
      <c r="W45" s="5"/>
      <c r="X45" s="5"/>
      <c r="Y45" s="5"/>
      <c r="Z45" s="5"/>
    </row>
    <row r="46">
      <c r="A46" s="48"/>
      <c r="B46" s="10"/>
      <c r="C46" s="10"/>
      <c r="D46" s="10"/>
      <c r="E46" s="10"/>
      <c r="F46" s="10"/>
      <c r="G46" s="10"/>
      <c r="H46" s="10"/>
      <c r="I46" s="5"/>
      <c r="J46" s="5"/>
      <c r="K46" s="5"/>
      <c r="L46" s="5"/>
      <c r="M46" s="5"/>
      <c r="N46" s="5"/>
      <c r="O46" s="5"/>
      <c r="P46" s="5"/>
      <c r="Q46" s="5"/>
      <c r="R46" s="5"/>
      <c r="S46" s="5"/>
      <c r="T46" s="5"/>
      <c r="U46" s="5"/>
      <c r="V46" s="5"/>
      <c r="W46" s="5"/>
      <c r="X46" s="5"/>
      <c r="Y46" s="5"/>
      <c r="Z46" s="5"/>
    </row>
    <row r="47">
      <c r="A47" s="48"/>
      <c r="B47" s="10"/>
      <c r="C47" s="10"/>
      <c r="D47" s="10"/>
      <c r="E47" s="10"/>
      <c r="F47" s="10"/>
      <c r="G47" s="10"/>
      <c r="H47" s="10"/>
      <c r="I47" s="5"/>
      <c r="J47" s="5"/>
      <c r="K47" s="5"/>
      <c r="L47" s="5"/>
      <c r="M47" s="5"/>
      <c r="N47" s="5"/>
      <c r="O47" s="5"/>
      <c r="P47" s="5"/>
      <c r="Q47" s="5"/>
      <c r="R47" s="5"/>
      <c r="S47" s="5"/>
      <c r="T47" s="5"/>
      <c r="U47" s="5"/>
      <c r="V47" s="5"/>
      <c r="W47" s="5"/>
      <c r="X47" s="5"/>
      <c r="Y47" s="5"/>
      <c r="Z47" s="5"/>
    </row>
    <row r="48">
      <c r="A48" s="48"/>
      <c r="B48" s="10"/>
      <c r="C48" s="10"/>
      <c r="D48" s="10"/>
      <c r="E48" s="10"/>
      <c r="F48" s="10"/>
      <c r="G48" s="10"/>
      <c r="H48" s="10"/>
      <c r="I48" s="5"/>
      <c r="J48" s="5"/>
      <c r="K48" s="5"/>
      <c r="L48" s="5"/>
      <c r="M48" s="5"/>
      <c r="N48" s="5"/>
      <c r="O48" s="5"/>
      <c r="P48" s="5"/>
      <c r="Q48" s="5"/>
      <c r="R48" s="5"/>
      <c r="S48" s="5"/>
      <c r="T48" s="5"/>
      <c r="U48" s="5"/>
      <c r="V48" s="5"/>
      <c r="W48" s="5"/>
      <c r="X48" s="5"/>
      <c r="Y48" s="5"/>
      <c r="Z48" s="5"/>
    </row>
    <row r="49">
      <c r="A49" s="48"/>
      <c r="B49" s="10"/>
      <c r="C49" s="10"/>
      <c r="D49" s="10"/>
      <c r="E49" s="10"/>
      <c r="F49" s="10"/>
      <c r="G49" s="10"/>
      <c r="H49" s="10"/>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6">
    <mergeCell ref="A1:H1"/>
    <mergeCell ref="A2:H2"/>
    <mergeCell ref="D4:E7"/>
    <mergeCell ref="A9:H9"/>
    <mergeCell ref="A10:H10"/>
    <mergeCell ref="A11:H11"/>
    <mergeCell ref="E13:F13"/>
    <mergeCell ref="B18:C18"/>
    <mergeCell ref="B19:C19"/>
    <mergeCell ref="B20:C20"/>
    <mergeCell ref="B21:C21"/>
    <mergeCell ref="B22:C22"/>
    <mergeCell ref="B23:C23"/>
    <mergeCell ref="C29:E29"/>
    <mergeCell ref="E19:G19"/>
    <mergeCell ref="E20:G20"/>
    <mergeCell ref="E21:G21"/>
    <mergeCell ref="E22:G22"/>
    <mergeCell ref="E23:G23"/>
    <mergeCell ref="C13:D13"/>
    <mergeCell ref="C14:D14"/>
    <mergeCell ref="E14:F14"/>
    <mergeCell ref="C15:D16"/>
    <mergeCell ref="E15:G16"/>
    <mergeCell ref="C17:D17"/>
    <mergeCell ref="E18:G1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49"/>
      <c r="B1" s="49"/>
      <c r="C1" s="49"/>
      <c r="D1" s="49"/>
      <c r="E1" s="49"/>
      <c r="F1" s="49"/>
      <c r="G1" s="49"/>
      <c r="H1" s="49"/>
      <c r="I1" s="49"/>
      <c r="J1" s="49"/>
      <c r="K1" s="49"/>
      <c r="L1" s="49"/>
      <c r="M1" s="49"/>
      <c r="N1" s="49"/>
      <c r="O1" s="49"/>
      <c r="P1" s="49"/>
      <c r="Q1" s="49"/>
    </row>
    <row r="2">
      <c r="A2" s="49"/>
      <c r="B2" s="49"/>
      <c r="C2" s="49"/>
      <c r="D2" s="49"/>
      <c r="E2" s="49"/>
      <c r="F2" s="49"/>
      <c r="G2" s="49"/>
      <c r="H2" s="49"/>
      <c r="I2" s="49"/>
      <c r="J2" s="49"/>
      <c r="K2" s="49"/>
      <c r="L2" s="49"/>
      <c r="M2" s="49"/>
      <c r="N2" s="49"/>
      <c r="O2" s="49"/>
      <c r="P2" s="49"/>
      <c r="Q2" s="49"/>
    </row>
    <row r="3">
      <c r="A3" s="49"/>
      <c r="B3" s="49"/>
      <c r="C3" s="49"/>
      <c r="D3" s="49"/>
      <c r="E3" s="49"/>
      <c r="F3" s="49"/>
      <c r="G3" s="49"/>
      <c r="H3" s="49"/>
      <c r="I3" s="49"/>
      <c r="J3" s="49"/>
      <c r="K3" s="49"/>
      <c r="L3" s="49"/>
      <c r="M3" s="49"/>
      <c r="N3" s="49"/>
      <c r="O3" s="49"/>
      <c r="P3" s="49"/>
      <c r="Q3" s="49"/>
    </row>
    <row r="4">
      <c r="A4" s="49"/>
      <c r="B4" s="49"/>
      <c r="C4" s="49"/>
      <c r="D4" s="49"/>
      <c r="E4" s="49"/>
      <c r="F4" s="49"/>
      <c r="G4" s="49"/>
      <c r="H4" s="49"/>
      <c r="I4" s="49"/>
      <c r="J4" s="49"/>
      <c r="K4" s="49"/>
      <c r="L4" s="49"/>
      <c r="M4" s="49"/>
      <c r="N4" s="49"/>
      <c r="O4" s="49"/>
      <c r="P4" s="49"/>
      <c r="Q4" s="49"/>
    </row>
    <row r="5">
      <c r="A5" s="49"/>
      <c r="B5" s="49"/>
      <c r="C5" s="50" t="s">
        <v>27</v>
      </c>
      <c r="D5" s="51"/>
      <c r="E5" s="51"/>
      <c r="F5" s="51"/>
      <c r="G5" s="51"/>
      <c r="H5" s="51"/>
      <c r="I5" s="51"/>
      <c r="J5" s="51"/>
      <c r="K5" s="51"/>
      <c r="L5" s="51"/>
      <c r="M5" s="51"/>
      <c r="N5" s="51"/>
      <c r="O5" s="52"/>
      <c r="P5" s="49"/>
      <c r="Q5" s="49"/>
    </row>
    <row r="6">
      <c r="A6" s="49"/>
      <c r="B6" s="49"/>
      <c r="C6" s="53"/>
      <c r="D6" s="54"/>
      <c r="E6" s="54"/>
      <c r="F6" s="54"/>
      <c r="G6" s="54"/>
      <c r="H6" s="54"/>
      <c r="I6" s="54"/>
      <c r="J6" s="54"/>
      <c r="K6" s="54"/>
      <c r="L6" s="54"/>
      <c r="M6" s="54"/>
      <c r="N6" s="54"/>
      <c r="O6" s="55"/>
      <c r="P6" s="49"/>
      <c r="Q6" s="49"/>
    </row>
    <row r="7">
      <c r="A7" s="49"/>
      <c r="B7" s="49"/>
      <c r="C7" s="56" t="s">
        <v>28</v>
      </c>
      <c r="P7" s="49"/>
      <c r="Q7" s="49"/>
    </row>
    <row r="8">
      <c r="A8" s="49"/>
      <c r="B8" s="49"/>
      <c r="C8" s="57" t="s">
        <v>29</v>
      </c>
      <c r="E8" s="58" t="s">
        <v>30</v>
      </c>
      <c r="P8" s="49"/>
      <c r="Q8" s="49"/>
    </row>
    <row r="9">
      <c r="A9" s="49"/>
      <c r="B9" s="49"/>
      <c r="C9" s="57" t="s">
        <v>31</v>
      </c>
      <c r="E9" s="57" t="s">
        <v>32</v>
      </c>
      <c r="P9" s="49"/>
      <c r="Q9" s="49"/>
    </row>
    <row r="10">
      <c r="A10" s="49"/>
      <c r="B10" s="49"/>
      <c r="C10" s="57" t="s">
        <v>33</v>
      </c>
      <c r="E10" s="57" t="s">
        <v>34</v>
      </c>
      <c r="P10" s="49"/>
      <c r="Q10" s="49"/>
    </row>
    <row r="11">
      <c r="A11" s="49"/>
      <c r="B11" s="49"/>
      <c r="C11" s="57" t="s">
        <v>35</v>
      </c>
      <c r="E11" s="58" t="s">
        <v>17</v>
      </c>
      <c r="P11" s="49"/>
      <c r="Q11" s="49"/>
    </row>
    <row r="12">
      <c r="A12" s="49"/>
      <c r="B12" s="49"/>
      <c r="C12" s="57" t="s">
        <v>36</v>
      </c>
      <c r="E12" s="59">
        <v>46151.0</v>
      </c>
      <c r="P12" s="49"/>
      <c r="Q12" s="49"/>
    </row>
    <row r="13">
      <c r="A13" s="49"/>
      <c r="B13" s="49"/>
      <c r="C13" s="57" t="s">
        <v>37</v>
      </c>
      <c r="E13" s="60" t="s">
        <v>38</v>
      </c>
      <c r="P13" s="49"/>
      <c r="Q13" s="49"/>
    </row>
    <row r="14">
      <c r="A14" s="49"/>
      <c r="B14" s="49"/>
      <c r="C14" s="61" t="s">
        <v>39</v>
      </c>
      <c r="D14" s="62" t="s">
        <v>40</v>
      </c>
      <c r="E14" s="62" t="s">
        <v>41</v>
      </c>
      <c r="F14" s="62" t="s">
        <v>42</v>
      </c>
      <c r="G14" s="62" t="s">
        <v>43</v>
      </c>
      <c r="H14" s="49"/>
      <c r="P14" s="49"/>
      <c r="Q14" s="49"/>
    </row>
    <row r="15">
      <c r="A15" s="49"/>
      <c r="B15" s="49"/>
      <c r="C15" s="63">
        <f>COUNTIF(N26:N211, "Pass")</f>
        <v>49</v>
      </c>
      <c r="D15" s="63">
        <f>COUNTIF(N26:N211, "Fail")</f>
        <v>0</v>
      </c>
      <c r="E15" s="63">
        <f>COUNTIF(F19:F21, "Untest")</f>
        <v>0</v>
      </c>
      <c r="F15" s="63">
        <f>COUNTIF(N26:N167, "N/A")</f>
        <v>0</v>
      </c>
      <c r="G15" s="63">
        <f>sum(C15,D15,E15,F15)</f>
        <v>49</v>
      </c>
      <c r="H15" s="49"/>
      <c r="P15" s="49"/>
      <c r="Q15" s="49"/>
    </row>
    <row r="16">
      <c r="A16" s="49"/>
      <c r="B16" s="49"/>
      <c r="C16" s="49"/>
      <c r="P16" s="49"/>
      <c r="Q16" s="49"/>
    </row>
    <row r="17">
      <c r="A17" s="49"/>
      <c r="B17" s="49"/>
      <c r="C17" s="56" t="s">
        <v>44</v>
      </c>
      <c r="P17" s="49"/>
      <c r="Q17" s="49"/>
    </row>
    <row r="18">
      <c r="A18" s="49"/>
      <c r="B18" s="49"/>
      <c r="C18" s="64" t="s">
        <v>45</v>
      </c>
      <c r="D18" s="65" t="s">
        <v>46</v>
      </c>
      <c r="E18" s="66"/>
      <c r="F18" s="65" t="s">
        <v>47</v>
      </c>
      <c r="G18" s="66"/>
      <c r="H18" s="65" t="s">
        <v>48</v>
      </c>
      <c r="I18" s="66"/>
      <c r="J18" s="65" t="s">
        <v>49</v>
      </c>
      <c r="K18" s="66"/>
      <c r="L18" s="65" t="s">
        <v>50</v>
      </c>
      <c r="M18" s="66"/>
      <c r="N18" s="65" t="s">
        <v>51</v>
      </c>
      <c r="O18" s="66"/>
      <c r="P18" s="49"/>
      <c r="Q18" s="49"/>
    </row>
    <row r="19">
      <c r="A19" s="49"/>
      <c r="B19" s="49"/>
      <c r="C19" s="67">
        <v>1.0</v>
      </c>
      <c r="D19" s="68" t="s">
        <v>52</v>
      </c>
      <c r="E19" s="66"/>
      <c r="F19" s="68" t="s">
        <v>53</v>
      </c>
      <c r="G19" s="66"/>
      <c r="H19" s="69"/>
      <c r="I19" s="66"/>
      <c r="J19" s="70" t="s">
        <v>54</v>
      </c>
      <c r="K19" s="66"/>
      <c r="L19" s="71" t="s">
        <v>55</v>
      </c>
      <c r="M19" s="66"/>
      <c r="N19" s="69"/>
      <c r="O19" s="66"/>
      <c r="P19" s="49"/>
      <c r="Q19" s="49"/>
    </row>
    <row r="20">
      <c r="A20" s="49"/>
      <c r="B20" s="49"/>
      <c r="C20" s="67">
        <v>2.0</v>
      </c>
      <c r="D20" s="68" t="s">
        <v>56</v>
      </c>
      <c r="E20" s="66"/>
      <c r="F20" s="68" t="s">
        <v>53</v>
      </c>
      <c r="G20" s="66"/>
      <c r="H20" s="69"/>
      <c r="I20" s="66"/>
      <c r="J20" s="70" t="s">
        <v>57</v>
      </c>
      <c r="K20" s="66"/>
      <c r="L20" s="71" t="s">
        <v>58</v>
      </c>
      <c r="M20" s="66"/>
      <c r="N20" s="69"/>
      <c r="O20" s="66"/>
      <c r="P20" s="49"/>
      <c r="Q20" s="49"/>
    </row>
    <row r="21">
      <c r="A21" s="49"/>
      <c r="B21" s="49"/>
      <c r="C21" s="67">
        <v>3.0</v>
      </c>
      <c r="D21" s="68" t="s">
        <v>59</v>
      </c>
      <c r="E21" s="66"/>
      <c r="F21" s="72" t="s">
        <v>53</v>
      </c>
      <c r="G21" s="66"/>
      <c r="H21" s="69"/>
      <c r="I21" s="66"/>
      <c r="J21" s="70" t="s">
        <v>60</v>
      </c>
      <c r="K21" s="66"/>
      <c r="L21" s="71" t="s">
        <v>61</v>
      </c>
      <c r="M21" s="66"/>
      <c r="N21" s="69"/>
      <c r="O21" s="66"/>
      <c r="P21" s="49"/>
      <c r="Q21" s="49"/>
    </row>
    <row r="22">
      <c r="A22" s="49"/>
      <c r="B22" s="49"/>
      <c r="C22" s="49"/>
      <c r="P22" s="49"/>
      <c r="Q22" s="49"/>
    </row>
    <row r="23">
      <c r="A23" s="49"/>
      <c r="B23" s="49"/>
      <c r="C23" s="56" t="s">
        <v>62</v>
      </c>
      <c r="N23" s="49"/>
      <c r="O23" s="49"/>
      <c r="P23" s="49"/>
      <c r="Q23" s="49"/>
    </row>
    <row r="24">
      <c r="A24" s="49"/>
      <c r="B24" s="49"/>
      <c r="C24" s="73" t="s">
        <v>63</v>
      </c>
      <c r="D24" s="73" t="s">
        <v>64</v>
      </c>
      <c r="E24" s="74" t="s">
        <v>65</v>
      </c>
      <c r="F24" s="66"/>
      <c r="G24" s="74" t="s">
        <v>66</v>
      </c>
      <c r="H24" s="66"/>
      <c r="I24" s="74" t="s">
        <v>67</v>
      </c>
      <c r="J24" s="66"/>
      <c r="K24" s="74" t="s">
        <v>68</v>
      </c>
      <c r="L24" s="66"/>
      <c r="M24" s="73" t="s">
        <v>69</v>
      </c>
      <c r="N24" s="73" t="s">
        <v>70</v>
      </c>
      <c r="O24" s="73" t="s">
        <v>71</v>
      </c>
      <c r="P24" s="49"/>
      <c r="Q24" s="49"/>
    </row>
    <row r="25">
      <c r="A25" s="49"/>
      <c r="B25" s="49"/>
      <c r="C25" s="75" t="s">
        <v>72</v>
      </c>
      <c r="D25" s="76"/>
      <c r="E25" s="76"/>
      <c r="F25" s="76"/>
      <c r="G25" s="76"/>
      <c r="H25" s="76"/>
      <c r="I25" s="76"/>
      <c r="J25" s="76"/>
      <c r="K25" s="76"/>
      <c r="L25" s="76"/>
      <c r="M25" s="76"/>
      <c r="N25" s="76"/>
      <c r="O25" s="66"/>
      <c r="P25" s="49"/>
      <c r="Q25" s="49"/>
    </row>
    <row r="26">
      <c r="C26" s="67" t="s">
        <v>73</v>
      </c>
      <c r="D26" s="77" t="s">
        <v>74</v>
      </c>
      <c r="E26" s="72" t="s">
        <v>75</v>
      </c>
      <c r="F26" s="66"/>
      <c r="G26" s="72" t="s">
        <v>76</v>
      </c>
      <c r="H26" s="66"/>
      <c r="I26" s="69"/>
      <c r="J26" s="66"/>
      <c r="K26" s="72" t="s">
        <v>77</v>
      </c>
      <c r="L26" s="66"/>
      <c r="M26" s="78">
        <v>46151.0</v>
      </c>
      <c r="N26" s="79" t="s">
        <v>39</v>
      </c>
      <c r="O26" s="80"/>
    </row>
    <row r="27">
      <c r="C27" s="67" t="s">
        <v>78</v>
      </c>
      <c r="D27" s="77" t="s">
        <v>74</v>
      </c>
      <c r="E27" s="72" t="s">
        <v>79</v>
      </c>
      <c r="F27" s="66"/>
      <c r="G27" s="72" t="s">
        <v>80</v>
      </c>
      <c r="H27" s="66"/>
      <c r="I27" s="69"/>
      <c r="J27" s="66"/>
      <c r="K27" s="68" t="s">
        <v>81</v>
      </c>
      <c r="L27" s="66"/>
      <c r="M27" s="78">
        <v>46151.0</v>
      </c>
      <c r="N27" s="79" t="s">
        <v>39</v>
      </c>
      <c r="O27" s="77"/>
    </row>
    <row r="28">
      <c r="C28" s="67" t="s">
        <v>82</v>
      </c>
      <c r="D28" s="77" t="s">
        <v>74</v>
      </c>
      <c r="E28" s="72" t="s">
        <v>83</v>
      </c>
      <c r="F28" s="66"/>
      <c r="G28" s="72" t="s">
        <v>84</v>
      </c>
      <c r="H28" s="66"/>
      <c r="I28" s="69"/>
      <c r="J28" s="66"/>
      <c r="K28" s="72" t="s">
        <v>85</v>
      </c>
      <c r="L28" s="66"/>
      <c r="M28" s="78">
        <v>46151.0</v>
      </c>
      <c r="N28" s="77" t="s">
        <v>39</v>
      </c>
      <c r="O28" s="80"/>
    </row>
    <row r="29">
      <c r="C29" s="67" t="s">
        <v>86</v>
      </c>
      <c r="D29" s="77" t="s">
        <v>74</v>
      </c>
      <c r="E29" s="72" t="s">
        <v>87</v>
      </c>
      <c r="F29" s="66"/>
      <c r="G29" s="72" t="s">
        <v>88</v>
      </c>
      <c r="H29" s="66"/>
      <c r="I29" s="69"/>
      <c r="J29" s="66"/>
      <c r="K29" s="72" t="s">
        <v>89</v>
      </c>
      <c r="L29" s="66"/>
      <c r="M29" s="78">
        <v>46151.0</v>
      </c>
      <c r="N29" s="77" t="s">
        <v>39</v>
      </c>
      <c r="O29" s="80"/>
    </row>
    <row r="30">
      <c r="C30" s="67" t="s">
        <v>90</v>
      </c>
      <c r="D30" s="77" t="s">
        <v>74</v>
      </c>
      <c r="E30" s="72" t="s">
        <v>91</v>
      </c>
      <c r="F30" s="66"/>
      <c r="G30" s="72" t="s">
        <v>92</v>
      </c>
      <c r="H30" s="66"/>
      <c r="I30" s="69"/>
      <c r="J30" s="66"/>
      <c r="K30" s="72" t="s">
        <v>93</v>
      </c>
      <c r="L30" s="66"/>
      <c r="M30" s="78">
        <v>46151.0</v>
      </c>
      <c r="N30" s="77" t="s">
        <v>39</v>
      </c>
      <c r="O30" s="80"/>
    </row>
    <row r="31">
      <c r="C31" s="67" t="s">
        <v>94</v>
      </c>
      <c r="D31" s="77" t="s">
        <v>74</v>
      </c>
      <c r="E31" s="68" t="s">
        <v>95</v>
      </c>
      <c r="F31" s="66"/>
      <c r="G31" s="68" t="s">
        <v>96</v>
      </c>
      <c r="H31" s="66"/>
      <c r="I31" s="69"/>
      <c r="J31" s="66"/>
      <c r="K31" s="68" t="s">
        <v>97</v>
      </c>
      <c r="L31" s="66"/>
      <c r="M31" s="78">
        <v>46151.0</v>
      </c>
      <c r="N31" s="77" t="s">
        <v>39</v>
      </c>
      <c r="O31" s="80"/>
    </row>
    <row r="32">
      <c r="C32" s="67" t="s">
        <v>98</v>
      </c>
      <c r="D32" s="79" t="s">
        <v>74</v>
      </c>
      <c r="E32" s="68" t="s">
        <v>99</v>
      </c>
      <c r="F32" s="66"/>
      <c r="G32" s="68"/>
      <c r="H32" s="66"/>
      <c r="I32" s="69"/>
      <c r="J32" s="66"/>
      <c r="K32" s="68" t="s">
        <v>100</v>
      </c>
      <c r="L32" s="66"/>
      <c r="M32" s="78">
        <v>46151.0</v>
      </c>
      <c r="N32" s="79" t="s">
        <v>39</v>
      </c>
      <c r="O32" s="80"/>
    </row>
    <row r="33">
      <c r="C33" s="67" t="s">
        <v>101</v>
      </c>
      <c r="D33" s="79" t="s">
        <v>102</v>
      </c>
      <c r="E33" s="68" t="s">
        <v>103</v>
      </c>
      <c r="F33" s="66"/>
      <c r="G33" s="68" t="s">
        <v>104</v>
      </c>
      <c r="H33" s="66"/>
      <c r="I33" s="69"/>
      <c r="J33" s="66"/>
      <c r="K33" s="68" t="s">
        <v>105</v>
      </c>
      <c r="L33" s="66"/>
      <c r="M33" s="78">
        <v>46151.0</v>
      </c>
      <c r="N33" s="77" t="s">
        <v>39</v>
      </c>
      <c r="O33" s="80"/>
    </row>
    <row r="34">
      <c r="C34" s="67" t="s">
        <v>106</v>
      </c>
      <c r="D34" s="79" t="s">
        <v>102</v>
      </c>
      <c r="E34" s="68" t="s">
        <v>107</v>
      </c>
      <c r="F34" s="66"/>
      <c r="G34" s="68" t="s">
        <v>108</v>
      </c>
      <c r="H34" s="66"/>
      <c r="I34" s="69"/>
      <c r="J34" s="66"/>
      <c r="K34" s="68" t="s">
        <v>109</v>
      </c>
      <c r="L34" s="66"/>
      <c r="M34" s="78">
        <v>46151.0</v>
      </c>
      <c r="N34" s="77" t="s">
        <v>39</v>
      </c>
      <c r="O34" s="80"/>
    </row>
    <row r="35">
      <c r="C35" s="67" t="s">
        <v>110</v>
      </c>
      <c r="D35" s="79" t="s">
        <v>102</v>
      </c>
      <c r="E35" s="68" t="s">
        <v>111</v>
      </c>
      <c r="F35" s="66"/>
      <c r="G35" s="68" t="s">
        <v>112</v>
      </c>
      <c r="H35" s="66"/>
      <c r="I35" s="69"/>
      <c r="J35" s="66"/>
      <c r="K35" s="68" t="s">
        <v>113</v>
      </c>
      <c r="L35" s="66"/>
      <c r="M35" s="78">
        <v>46151.0</v>
      </c>
      <c r="N35" s="77" t="s">
        <v>39</v>
      </c>
      <c r="O35" s="80"/>
    </row>
    <row r="36">
      <c r="C36" s="67" t="s">
        <v>114</v>
      </c>
      <c r="D36" s="79" t="s">
        <v>102</v>
      </c>
      <c r="E36" s="68" t="s">
        <v>115</v>
      </c>
      <c r="F36" s="66"/>
      <c r="G36" s="68" t="s">
        <v>116</v>
      </c>
      <c r="H36" s="66"/>
      <c r="I36" s="81"/>
      <c r="J36" s="66"/>
      <c r="K36" s="68" t="s">
        <v>117</v>
      </c>
      <c r="L36" s="66"/>
      <c r="M36" s="78">
        <v>46151.0</v>
      </c>
      <c r="N36" s="77" t="s">
        <v>39</v>
      </c>
      <c r="O36" s="80"/>
    </row>
    <row r="37">
      <c r="C37" s="67" t="s">
        <v>118</v>
      </c>
      <c r="D37" s="77" t="s">
        <v>102</v>
      </c>
      <c r="E37" s="72" t="s">
        <v>119</v>
      </c>
      <c r="F37" s="66"/>
      <c r="G37" s="72" t="s">
        <v>120</v>
      </c>
      <c r="H37" s="66"/>
      <c r="I37" s="71" t="s">
        <v>121</v>
      </c>
      <c r="J37" s="66"/>
      <c r="K37" s="68" t="s">
        <v>122</v>
      </c>
      <c r="L37" s="66"/>
      <c r="M37" s="78">
        <v>46151.0</v>
      </c>
      <c r="N37" s="77" t="s">
        <v>39</v>
      </c>
      <c r="O37" s="80"/>
    </row>
    <row r="38">
      <c r="C38" s="67" t="s">
        <v>123</v>
      </c>
      <c r="D38" s="77" t="s">
        <v>102</v>
      </c>
      <c r="E38" s="72" t="s">
        <v>124</v>
      </c>
      <c r="F38" s="66"/>
      <c r="G38" s="72" t="s">
        <v>120</v>
      </c>
      <c r="H38" s="66"/>
      <c r="I38" s="71" t="s">
        <v>125</v>
      </c>
      <c r="J38" s="66"/>
      <c r="K38" s="68" t="s">
        <v>126</v>
      </c>
      <c r="L38" s="66"/>
      <c r="M38" s="78">
        <v>46151.0</v>
      </c>
      <c r="N38" s="77" t="s">
        <v>39</v>
      </c>
      <c r="O38" s="80"/>
    </row>
    <row r="39">
      <c r="C39" s="67" t="s">
        <v>127</v>
      </c>
      <c r="D39" s="77" t="s">
        <v>102</v>
      </c>
      <c r="E39" s="68" t="s">
        <v>128</v>
      </c>
      <c r="F39" s="66"/>
      <c r="G39" s="68" t="s">
        <v>120</v>
      </c>
      <c r="H39" s="66"/>
      <c r="I39" s="71" t="s">
        <v>129</v>
      </c>
      <c r="J39" s="66"/>
      <c r="K39" s="68" t="s">
        <v>130</v>
      </c>
      <c r="L39" s="66"/>
      <c r="M39" s="78">
        <v>46151.0</v>
      </c>
      <c r="N39" s="77" t="s">
        <v>39</v>
      </c>
      <c r="O39" s="80"/>
    </row>
    <row r="40">
      <c r="C40" s="67" t="s">
        <v>131</v>
      </c>
      <c r="D40" s="77" t="s">
        <v>102</v>
      </c>
      <c r="E40" s="72" t="s">
        <v>132</v>
      </c>
      <c r="F40" s="66"/>
      <c r="G40" s="72" t="s">
        <v>133</v>
      </c>
      <c r="H40" s="66"/>
      <c r="I40" s="81" t="s">
        <v>134</v>
      </c>
      <c r="J40" s="66"/>
      <c r="K40" s="72" t="s">
        <v>135</v>
      </c>
      <c r="L40" s="66"/>
      <c r="M40" s="78">
        <v>46151.0</v>
      </c>
      <c r="N40" s="77" t="s">
        <v>39</v>
      </c>
      <c r="O40" s="80"/>
    </row>
    <row r="41">
      <c r="C41" s="67" t="s">
        <v>136</v>
      </c>
      <c r="D41" s="77" t="s">
        <v>102</v>
      </c>
      <c r="E41" s="72" t="s">
        <v>137</v>
      </c>
      <c r="F41" s="66"/>
      <c r="G41" s="72" t="s">
        <v>138</v>
      </c>
      <c r="H41" s="66"/>
      <c r="I41" s="81" t="s">
        <v>139</v>
      </c>
      <c r="J41" s="66"/>
      <c r="K41" s="72" t="s">
        <v>140</v>
      </c>
      <c r="L41" s="66"/>
      <c r="M41" s="78">
        <v>46151.0</v>
      </c>
      <c r="N41" s="77" t="s">
        <v>39</v>
      </c>
      <c r="O41" s="80"/>
    </row>
    <row r="42">
      <c r="C42" s="67" t="s">
        <v>141</v>
      </c>
      <c r="D42" s="77" t="s">
        <v>102</v>
      </c>
      <c r="E42" s="72" t="s">
        <v>142</v>
      </c>
      <c r="F42" s="66"/>
      <c r="G42" s="72" t="s">
        <v>143</v>
      </c>
      <c r="H42" s="66"/>
      <c r="I42" s="81" t="s">
        <v>144</v>
      </c>
      <c r="J42" s="66"/>
      <c r="K42" s="72" t="s">
        <v>145</v>
      </c>
      <c r="L42" s="66"/>
      <c r="M42" s="78">
        <v>46151.0</v>
      </c>
      <c r="N42" s="77" t="s">
        <v>39</v>
      </c>
      <c r="O42" s="80"/>
    </row>
    <row r="43">
      <c r="C43" s="67" t="s">
        <v>146</v>
      </c>
      <c r="D43" s="77" t="s">
        <v>102</v>
      </c>
      <c r="E43" s="68" t="s">
        <v>147</v>
      </c>
      <c r="F43" s="66"/>
      <c r="G43" s="69"/>
      <c r="H43" s="66"/>
      <c r="I43" s="71" t="s">
        <v>148</v>
      </c>
      <c r="J43" s="66"/>
      <c r="K43" s="68" t="s">
        <v>149</v>
      </c>
      <c r="L43" s="66"/>
      <c r="M43" s="78">
        <v>46151.0</v>
      </c>
      <c r="N43" s="77" t="s">
        <v>39</v>
      </c>
      <c r="O43" s="80"/>
    </row>
    <row r="44">
      <c r="C44" s="82" t="s">
        <v>150</v>
      </c>
    </row>
    <row r="45">
      <c r="C45" s="67" t="s">
        <v>151</v>
      </c>
      <c r="D45" s="79" t="s">
        <v>74</v>
      </c>
      <c r="E45" s="68" t="s">
        <v>152</v>
      </c>
      <c r="F45" s="66"/>
      <c r="G45" s="68" t="s">
        <v>153</v>
      </c>
      <c r="H45" s="66"/>
      <c r="I45" s="81"/>
      <c r="J45" s="66"/>
      <c r="K45" s="68" t="s">
        <v>154</v>
      </c>
      <c r="L45" s="66"/>
      <c r="M45" s="78">
        <v>46151.0</v>
      </c>
      <c r="N45" s="77" t="s">
        <v>39</v>
      </c>
      <c r="O45" s="80"/>
    </row>
    <row r="46">
      <c r="C46" s="67" t="s">
        <v>155</v>
      </c>
      <c r="D46" s="77" t="s">
        <v>102</v>
      </c>
      <c r="E46" s="68" t="s">
        <v>156</v>
      </c>
      <c r="F46" s="66"/>
      <c r="G46" s="83" t="s">
        <v>157</v>
      </c>
      <c r="H46" s="66"/>
      <c r="I46" s="81"/>
      <c r="J46" s="66"/>
      <c r="K46" s="68" t="s">
        <v>158</v>
      </c>
      <c r="L46" s="66"/>
      <c r="M46" s="84">
        <v>46151.0</v>
      </c>
      <c r="N46" s="77" t="s">
        <v>39</v>
      </c>
      <c r="O46" s="80"/>
    </row>
    <row r="47">
      <c r="C47" s="67" t="s">
        <v>159</v>
      </c>
      <c r="D47" s="79" t="s">
        <v>74</v>
      </c>
      <c r="E47" s="68" t="s">
        <v>160</v>
      </c>
      <c r="F47" s="66"/>
      <c r="G47" s="68" t="s">
        <v>161</v>
      </c>
      <c r="H47" s="66"/>
      <c r="I47" s="81"/>
      <c r="J47" s="66"/>
      <c r="K47" s="68" t="s">
        <v>162</v>
      </c>
      <c r="L47" s="66"/>
      <c r="M47" s="84">
        <v>46151.0</v>
      </c>
      <c r="N47" s="77" t="s">
        <v>39</v>
      </c>
      <c r="O47" s="80"/>
    </row>
    <row r="48">
      <c r="C48" s="67" t="s">
        <v>163</v>
      </c>
      <c r="D48" s="79" t="s">
        <v>74</v>
      </c>
      <c r="E48" s="68" t="s">
        <v>164</v>
      </c>
      <c r="F48" s="66"/>
      <c r="G48" s="83" t="s">
        <v>165</v>
      </c>
      <c r="H48" s="66"/>
      <c r="I48" s="81"/>
      <c r="J48" s="66"/>
      <c r="K48" s="68" t="s">
        <v>166</v>
      </c>
      <c r="L48" s="66"/>
      <c r="M48" s="84">
        <v>46151.0</v>
      </c>
      <c r="N48" s="77" t="s">
        <v>39</v>
      </c>
      <c r="O48" s="80"/>
    </row>
    <row r="49">
      <c r="C49" s="67" t="s">
        <v>167</v>
      </c>
      <c r="D49" s="79" t="s">
        <v>74</v>
      </c>
      <c r="E49" s="68" t="s">
        <v>83</v>
      </c>
      <c r="F49" s="66"/>
      <c r="G49" s="83" t="s">
        <v>168</v>
      </c>
      <c r="H49" s="66"/>
      <c r="I49" s="81"/>
      <c r="J49" s="66"/>
      <c r="K49" s="68" t="s">
        <v>169</v>
      </c>
      <c r="L49" s="66"/>
      <c r="M49" s="84">
        <v>46151.0</v>
      </c>
      <c r="N49" s="77" t="s">
        <v>39</v>
      </c>
      <c r="O49" s="80"/>
    </row>
    <row r="50">
      <c r="C50" s="67" t="s">
        <v>170</v>
      </c>
      <c r="D50" s="79" t="s">
        <v>74</v>
      </c>
      <c r="E50" s="68" t="s">
        <v>171</v>
      </c>
      <c r="F50" s="66"/>
      <c r="G50" s="68" t="s">
        <v>172</v>
      </c>
      <c r="H50" s="66"/>
      <c r="I50" s="81"/>
      <c r="J50" s="66"/>
      <c r="K50" s="68" t="s">
        <v>173</v>
      </c>
      <c r="L50" s="66"/>
      <c r="M50" s="84">
        <v>46151.0</v>
      </c>
      <c r="N50" s="77" t="s">
        <v>39</v>
      </c>
      <c r="O50" s="80"/>
    </row>
    <row r="51">
      <c r="C51" s="67" t="s">
        <v>174</v>
      </c>
      <c r="D51" s="79" t="s">
        <v>74</v>
      </c>
      <c r="E51" s="68" t="s">
        <v>91</v>
      </c>
      <c r="F51" s="66"/>
      <c r="G51" s="68" t="s">
        <v>92</v>
      </c>
      <c r="H51" s="66"/>
      <c r="I51" s="81"/>
      <c r="J51" s="66"/>
      <c r="K51" s="68" t="s">
        <v>93</v>
      </c>
      <c r="L51" s="66"/>
      <c r="M51" s="84">
        <v>46151.0</v>
      </c>
      <c r="N51" s="77" t="s">
        <v>39</v>
      </c>
      <c r="O51" s="80"/>
    </row>
    <row r="52">
      <c r="C52" s="67" t="s">
        <v>175</v>
      </c>
      <c r="D52" s="79" t="s">
        <v>74</v>
      </c>
      <c r="E52" s="68" t="s">
        <v>176</v>
      </c>
      <c r="F52" s="66"/>
      <c r="G52" s="68" t="s">
        <v>177</v>
      </c>
      <c r="H52" s="66"/>
      <c r="I52" s="81"/>
      <c r="J52" s="66"/>
      <c r="K52" s="68" t="s">
        <v>178</v>
      </c>
      <c r="L52" s="66"/>
      <c r="M52" s="84">
        <v>46151.0</v>
      </c>
      <c r="N52" s="77" t="s">
        <v>39</v>
      </c>
      <c r="O52" s="80"/>
    </row>
    <row r="53">
      <c r="C53" s="67" t="s">
        <v>179</v>
      </c>
      <c r="D53" s="79" t="s">
        <v>102</v>
      </c>
      <c r="E53" s="68" t="s">
        <v>180</v>
      </c>
      <c r="F53" s="66"/>
      <c r="G53" s="68" t="s">
        <v>181</v>
      </c>
      <c r="H53" s="66"/>
      <c r="I53" s="81"/>
      <c r="J53" s="66"/>
      <c r="K53" s="68" t="s">
        <v>182</v>
      </c>
      <c r="L53" s="66"/>
      <c r="M53" s="84">
        <v>46151.0</v>
      </c>
      <c r="N53" s="77" t="s">
        <v>39</v>
      </c>
      <c r="O53" s="80"/>
    </row>
    <row r="54">
      <c r="C54" s="67" t="s">
        <v>183</v>
      </c>
      <c r="D54" s="79" t="s">
        <v>102</v>
      </c>
      <c r="E54" s="68" t="s">
        <v>184</v>
      </c>
      <c r="F54" s="66"/>
      <c r="G54" s="68" t="s">
        <v>185</v>
      </c>
      <c r="H54" s="66"/>
      <c r="I54" s="71" t="s">
        <v>186</v>
      </c>
      <c r="J54" s="66"/>
      <c r="K54" s="68" t="s">
        <v>187</v>
      </c>
      <c r="L54" s="66"/>
      <c r="M54" s="84">
        <v>46151.0</v>
      </c>
      <c r="N54" s="77" t="s">
        <v>39</v>
      </c>
      <c r="O54" s="80"/>
    </row>
    <row r="55">
      <c r="C55" s="67" t="s">
        <v>188</v>
      </c>
      <c r="D55" s="79" t="s">
        <v>189</v>
      </c>
      <c r="E55" s="68" t="s">
        <v>190</v>
      </c>
      <c r="F55" s="66"/>
      <c r="G55" s="68" t="s">
        <v>185</v>
      </c>
      <c r="H55" s="66"/>
      <c r="I55" s="71" t="s">
        <v>191</v>
      </c>
      <c r="J55" s="66"/>
      <c r="K55" s="68" t="s">
        <v>192</v>
      </c>
      <c r="L55" s="66"/>
      <c r="M55" s="84">
        <v>46151.0</v>
      </c>
      <c r="N55" s="77" t="s">
        <v>39</v>
      </c>
      <c r="O55" s="80"/>
    </row>
    <row r="56">
      <c r="C56" s="67" t="s">
        <v>193</v>
      </c>
      <c r="D56" s="79" t="s">
        <v>189</v>
      </c>
      <c r="E56" s="68" t="s">
        <v>194</v>
      </c>
      <c r="F56" s="66"/>
      <c r="G56" s="68" t="s">
        <v>185</v>
      </c>
      <c r="H56" s="66"/>
      <c r="I56" s="71" t="s">
        <v>195</v>
      </c>
      <c r="J56" s="66"/>
      <c r="K56" s="68" t="s">
        <v>196</v>
      </c>
      <c r="L56" s="66"/>
      <c r="M56" s="84">
        <v>46151.0</v>
      </c>
      <c r="N56" s="77" t="s">
        <v>39</v>
      </c>
      <c r="O56" s="80"/>
    </row>
    <row r="57">
      <c r="C57" s="67" t="s">
        <v>197</v>
      </c>
      <c r="D57" s="79" t="s">
        <v>189</v>
      </c>
      <c r="E57" s="68" t="s">
        <v>198</v>
      </c>
      <c r="F57" s="66"/>
      <c r="G57" s="68" t="s">
        <v>185</v>
      </c>
      <c r="H57" s="66"/>
      <c r="I57" s="71" t="s">
        <v>199</v>
      </c>
      <c r="J57" s="66"/>
      <c r="K57" s="68" t="s">
        <v>200</v>
      </c>
      <c r="L57" s="66"/>
      <c r="M57" s="84">
        <v>46151.0</v>
      </c>
      <c r="N57" s="77" t="s">
        <v>39</v>
      </c>
      <c r="O57" s="80"/>
    </row>
    <row r="58">
      <c r="C58" s="67" t="s">
        <v>201</v>
      </c>
      <c r="D58" s="79" t="s">
        <v>189</v>
      </c>
      <c r="E58" s="68" t="s">
        <v>202</v>
      </c>
      <c r="F58" s="66"/>
      <c r="G58" s="68" t="s">
        <v>185</v>
      </c>
      <c r="H58" s="66"/>
      <c r="I58" s="71" t="s">
        <v>203</v>
      </c>
      <c r="J58" s="66"/>
      <c r="K58" s="68" t="s">
        <v>204</v>
      </c>
      <c r="L58" s="66"/>
      <c r="M58" s="84">
        <v>46151.0</v>
      </c>
      <c r="N58" s="77" t="s">
        <v>39</v>
      </c>
      <c r="O58" s="80"/>
    </row>
    <row r="59">
      <c r="C59" s="67" t="s">
        <v>205</v>
      </c>
      <c r="D59" s="79" t="s">
        <v>189</v>
      </c>
      <c r="E59" s="68" t="s">
        <v>206</v>
      </c>
      <c r="F59" s="66"/>
      <c r="G59" s="68" t="s">
        <v>185</v>
      </c>
      <c r="H59" s="66"/>
      <c r="I59" s="71" t="s">
        <v>207</v>
      </c>
      <c r="J59" s="66"/>
      <c r="K59" s="68" t="s">
        <v>208</v>
      </c>
      <c r="L59" s="66"/>
      <c r="M59" s="84">
        <v>46151.0</v>
      </c>
      <c r="N59" s="77" t="s">
        <v>39</v>
      </c>
      <c r="O59" s="80"/>
    </row>
    <row r="60">
      <c r="C60" s="67" t="s">
        <v>209</v>
      </c>
      <c r="D60" s="79" t="s">
        <v>102</v>
      </c>
      <c r="E60" s="68" t="s">
        <v>210</v>
      </c>
      <c r="F60" s="66"/>
      <c r="G60" s="68" t="s">
        <v>211</v>
      </c>
      <c r="H60" s="66"/>
      <c r="I60" s="71"/>
      <c r="J60" s="66"/>
      <c r="K60" s="68" t="s">
        <v>212</v>
      </c>
      <c r="L60" s="66"/>
      <c r="M60" s="78">
        <v>46153.0</v>
      </c>
      <c r="N60" s="79" t="s">
        <v>39</v>
      </c>
      <c r="O60" s="80"/>
    </row>
    <row r="61">
      <c r="C61" s="85" t="s">
        <v>213</v>
      </c>
      <c r="D61" s="76"/>
      <c r="E61" s="76"/>
      <c r="F61" s="76"/>
      <c r="G61" s="76"/>
      <c r="H61" s="76"/>
      <c r="I61" s="76"/>
      <c r="J61" s="76"/>
      <c r="K61" s="76"/>
      <c r="L61" s="76"/>
      <c r="M61" s="76"/>
      <c r="N61" s="76"/>
      <c r="O61" s="66"/>
    </row>
    <row r="62">
      <c r="C62" s="67" t="s">
        <v>214</v>
      </c>
      <c r="D62" s="86" t="s">
        <v>74</v>
      </c>
      <c r="E62" s="87" t="s">
        <v>75</v>
      </c>
      <c r="F62" s="66"/>
      <c r="G62" s="87" t="s">
        <v>76</v>
      </c>
      <c r="H62" s="66"/>
      <c r="I62" s="88"/>
      <c r="J62" s="66"/>
      <c r="K62" s="87" t="s">
        <v>77</v>
      </c>
      <c r="L62" s="66"/>
      <c r="M62" s="78">
        <v>46151.0</v>
      </c>
      <c r="N62" s="77" t="s">
        <v>39</v>
      </c>
      <c r="O62" s="80"/>
    </row>
    <row r="63">
      <c r="C63" s="67" t="s">
        <v>215</v>
      </c>
      <c r="D63" s="86" t="s">
        <v>74</v>
      </c>
      <c r="E63" s="87" t="s">
        <v>79</v>
      </c>
      <c r="F63" s="66"/>
      <c r="G63" s="87" t="s">
        <v>80</v>
      </c>
      <c r="H63" s="66"/>
      <c r="I63" s="88"/>
      <c r="J63" s="66"/>
      <c r="K63" s="87" t="s">
        <v>216</v>
      </c>
      <c r="L63" s="66"/>
      <c r="M63" s="78">
        <v>46151.0</v>
      </c>
      <c r="N63" s="79" t="s">
        <v>39</v>
      </c>
      <c r="O63" s="77"/>
    </row>
    <row r="64">
      <c r="C64" s="67" t="s">
        <v>217</v>
      </c>
      <c r="D64" s="86" t="s">
        <v>74</v>
      </c>
      <c r="E64" s="87" t="s">
        <v>83</v>
      </c>
      <c r="F64" s="66"/>
      <c r="G64" s="87" t="s">
        <v>84</v>
      </c>
      <c r="H64" s="66"/>
      <c r="I64" s="88"/>
      <c r="J64" s="66"/>
      <c r="K64" s="87" t="s">
        <v>85</v>
      </c>
      <c r="L64" s="66"/>
      <c r="M64" s="78">
        <v>46151.0</v>
      </c>
      <c r="N64" s="77" t="s">
        <v>39</v>
      </c>
      <c r="O64" s="80"/>
    </row>
    <row r="65">
      <c r="C65" s="67" t="s">
        <v>218</v>
      </c>
      <c r="D65" s="86" t="s">
        <v>74</v>
      </c>
      <c r="E65" s="87" t="s">
        <v>87</v>
      </c>
      <c r="F65" s="66"/>
      <c r="G65" s="87" t="s">
        <v>88</v>
      </c>
      <c r="H65" s="66"/>
      <c r="I65" s="88"/>
      <c r="J65" s="66"/>
      <c r="K65" s="87" t="s">
        <v>89</v>
      </c>
      <c r="L65" s="66"/>
      <c r="M65" s="78">
        <v>46151.0</v>
      </c>
      <c r="N65" s="77" t="s">
        <v>39</v>
      </c>
      <c r="O65" s="80"/>
    </row>
    <row r="66">
      <c r="C66" s="67" t="s">
        <v>219</v>
      </c>
      <c r="D66" s="86" t="s">
        <v>74</v>
      </c>
      <c r="E66" s="87" t="s">
        <v>91</v>
      </c>
      <c r="F66" s="66"/>
      <c r="G66" s="87" t="s">
        <v>92</v>
      </c>
      <c r="H66" s="66"/>
      <c r="I66" s="88"/>
      <c r="J66" s="66"/>
      <c r="K66" s="87" t="s">
        <v>93</v>
      </c>
      <c r="L66" s="66"/>
      <c r="M66" s="78">
        <v>46151.0</v>
      </c>
      <c r="N66" s="77" t="s">
        <v>39</v>
      </c>
      <c r="O66" s="80"/>
    </row>
    <row r="67">
      <c r="C67" s="67" t="s">
        <v>220</v>
      </c>
      <c r="D67" s="86" t="s">
        <v>74</v>
      </c>
      <c r="E67" s="87" t="s">
        <v>221</v>
      </c>
      <c r="F67" s="66"/>
      <c r="G67" s="87" t="s">
        <v>222</v>
      </c>
      <c r="H67" s="66"/>
      <c r="I67" s="88"/>
      <c r="J67" s="66"/>
      <c r="K67" s="87" t="s">
        <v>223</v>
      </c>
      <c r="L67" s="66"/>
      <c r="M67" s="78">
        <v>46151.0</v>
      </c>
      <c r="N67" s="77" t="s">
        <v>39</v>
      </c>
      <c r="O67" s="80"/>
    </row>
    <row r="68">
      <c r="C68" s="67" t="s">
        <v>224</v>
      </c>
      <c r="D68" s="86" t="s">
        <v>74</v>
      </c>
      <c r="E68" s="68" t="s">
        <v>225</v>
      </c>
      <c r="F68" s="66"/>
      <c r="G68" s="68" t="s">
        <v>226</v>
      </c>
      <c r="H68" s="66"/>
      <c r="I68" s="88"/>
      <c r="J68" s="66"/>
      <c r="K68" s="68" t="s">
        <v>227</v>
      </c>
      <c r="L68" s="66"/>
      <c r="M68" s="78">
        <v>46151.0</v>
      </c>
      <c r="N68" s="77" t="s">
        <v>39</v>
      </c>
      <c r="O68" s="80"/>
    </row>
    <row r="69">
      <c r="C69" s="67" t="s">
        <v>228</v>
      </c>
      <c r="D69" s="86" t="s">
        <v>74</v>
      </c>
      <c r="E69" s="68" t="s">
        <v>229</v>
      </c>
      <c r="F69" s="66"/>
      <c r="G69" s="68" t="s">
        <v>230</v>
      </c>
      <c r="H69" s="66"/>
      <c r="I69" s="88"/>
      <c r="J69" s="66"/>
      <c r="K69" s="68" t="s">
        <v>231</v>
      </c>
      <c r="L69" s="66"/>
      <c r="M69" s="78">
        <v>46151.0</v>
      </c>
      <c r="N69" s="77" t="s">
        <v>39</v>
      </c>
      <c r="O69" s="80"/>
    </row>
    <row r="70">
      <c r="C70" s="67" t="s">
        <v>232</v>
      </c>
      <c r="D70" s="77" t="s">
        <v>74</v>
      </c>
      <c r="E70" s="72" t="s">
        <v>99</v>
      </c>
      <c r="F70" s="66"/>
      <c r="G70" s="69"/>
      <c r="H70" s="66"/>
      <c r="I70" s="69"/>
      <c r="J70" s="66"/>
      <c r="K70" s="72" t="s">
        <v>233</v>
      </c>
      <c r="L70" s="66"/>
      <c r="M70" s="78">
        <v>46151.0</v>
      </c>
      <c r="N70" s="77" t="s">
        <v>39</v>
      </c>
      <c r="O70" s="80"/>
    </row>
    <row r="71">
      <c r="C71" s="67" t="s">
        <v>234</v>
      </c>
      <c r="D71" s="77" t="s">
        <v>102</v>
      </c>
      <c r="E71" s="68" t="s">
        <v>235</v>
      </c>
      <c r="F71" s="66"/>
      <c r="G71" s="72" t="s">
        <v>120</v>
      </c>
      <c r="H71" s="66"/>
      <c r="I71" s="71" t="s">
        <v>236</v>
      </c>
      <c r="J71" s="66"/>
      <c r="K71" s="68" t="s">
        <v>237</v>
      </c>
      <c r="L71" s="66"/>
      <c r="M71" s="78">
        <v>46151.0</v>
      </c>
      <c r="N71" s="77" t="s">
        <v>39</v>
      </c>
      <c r="O71" s="80"/>
    </row>
    <row r="72">
      <c r="C72" s="67" t="s">
        <v>238</v>
      </c>
      <c r="D72" s="77" t="s">
        <v>102</v>
      </c>
      <c r="E72" s="72" t="s">
        <v>119</v>
      </c>
      <c r="F72" s="66"/>
      <c r="G72" s="72" t="s">
        <v>120</v>
      </c>
      <c r="H72" s="66"/>
      <c r="I72" s="71" t="s">
        <v>239</v>
      </c>
      <c r="J72" s="66"/>
      <c r="K72" s="68" t="s">
        <v>240</v>
      </c>
      <c r="L72" s="66"/>
      <c r="M72" s="78">
        <v>46152.0</v>
      </c>
      <c r="N72" s="77" t="s">
        <v>39</v>
      </c>
      <c r="O72" s="80"/>
    </row>
    <row r="73">
      <c r="C73" s="67" t="s">
        <v>241</v>
      </c>
      <c r="D73" s="77" t="s">
        <v>102</v>
      </c>
      <c r="E73" s="72" t="s">
        <v>124</v>
      </c>
      <c r="F73" s="66"/>
      <c r="G73" s="72" t="s">
        <v>120</v>
      </c>
      <c r="H73" s="66"/>
      <c r="I73" s="71" t="s">
        <v>242</v>
      </c>
      <c r="J73" s="66"/>
      <c r="K73" s="72" t="s">
        <v>243</v>
      </c>
      <c r="L73" s="66"/>
      <c r="M73" s="78">
        <v>46152.0</v>
      </c>
      <c r="N73" s="77" t="s">
        <v>39</v>
      </c>
      <c r="O73" s="80"/>
    </row>
    <row r="74">
      <c r="C74" s="67" t="s">
        <v>244</v>
      </c>
      <c r="D74" s="77" t="s">
        <v>102</v>
      </c>
      <c r="E74" s="68" t="s">
        <v>245</v>
      </c>
      <c r="F74" s="66"/>
      <c r="G74" s="68" t="s">
        <v>246</v>
      </c>
      <c r="H74" s="66"/>
      <c r="I74" s="71" t="s">
        <v>247</v>
      </c>
      <c r="J74" s="66"/>
      <c r="K74" s="68" t="s">
        <v>248</v>
      </c>
      <c r="L74" s="66"/>
      <c r="M74" s="78">
        <v>46152.0</v>
      </c>
      <c r="N74" s="77" t="s">
        <v>39</v>
      </c>
      <c r="O74" s="80"/>
    </row>
    <row r="75">
      <c r="C75" s="67" t="s">
        <v>249</v>
      </c>
      <c r="D75" s="77" t="s">
        <v>102</v>
      </c>
      <c r="E75" s="68" t="s">
        <v>250</v>
      </c>
      <c r="F75" s="66"/>
      <c r="G75" s="68" t="s">
        <v>251</v>
      </c>
      <c r="H75" s="66"/>
      <c r="I75" s="71" t="s">
        <v>252</v>
      </c>
      <c r="J75" s="66"/>
      <c r="K75" s="68" t="s">
        <v>253</v>
      </c>
      <c r="L75" s="66"/>
      <c r="M75" s="78">
        <v>46152.0</v>
      </c>
      <c r="N75" s="77" t="s">
        <v>39</v>
      </c>
      <c r="O75" s="80"/>
    </row>
    <row r="76">
      <c r="C76" s="67" t="s">
        <v>254</v>
      </c>
      <c r="D76" s="77" t="s">
        <v>102</v>
      </c>
      <c r="E76" s="68" t="s">
        <v>115</v>
      </c>
      <c r="F76" s="66"/>
      <c r="G76" s="68" t="s">
        <v>255</v>
      </c>
      <c r="H76" s="66"/>
      <c r="I76" s="71" t="s">
        <v>256</v>
      </c>
      <c r="J76" s="66"/>
      <c r="K76" s="68" t="s">
        <v>257</v>
      </c>
      <c r="L76" s="66"/>
      <c r="M76" s="78">
        <v>46152.0</v>
      </c>
      <c r="N76" s="77" t="s">
        <v>39</v>
      </c>
      <c r="O76" s="80"/>
    </row>
  </sheetData>
  <mergeCells count="247">
    <mergeCell ref="E46:F46"/>
    <mergeCell ref="G46:H46"/>
    <mergeCell ref="I46:J46"/>
    <mergeCell ref="K46:L46"/>
    <mergeCell ref="G47:H47"/>
    <mergeCell ref="I47:J47"/>
    <mergeCell ref="K47:L47"/>
    <mergeCell ref="E47:F47"/>
    <mergeCell ref="E48:F48"/>
    <mergeCell ref="G48:H48"/>
    <mergeCell ref="I48:J48"/>
    <mergeCell ref="K48:L48"/>
    <mergeCell ref="E49:F49"/>
    <mergeCell ref="G49:H49"/>
    <mergeCell ref="E54:F54"/>
    <mergeCell ref="G54:H54"/>
    <mergeCell ref="I54:J54"/>
    <mergeCell ref="K54:L54"/>
    <mergeCell ref="G55:H55"/>
    <mergeCell ref="I55:J55"/>
    <mergeCell ref="K55:L55"/>
    <mergeCell ref="E55:F55"/>
    <mergeCell ref="E56:F56"/>
    <mergeCell ref="G56:H56"/>
    <mergeCell ref="I56:J56"/>
    <mergeCell ref="K56:L56"/>
    <mergeCell ref="E57:F57"/>
    <mergeCell ref="G57:H57"/>
    <mergeCell ref="G59:H59"/>
    <mergeCell ref="I59:J59"/>
    <mergeCell ref="I57:J57"/>
    <mergeCell ref="K57:L57"/>
    <mergeCell ref="E58:F58"/>
    <mergeCell ref="G58:H58"/>
    <mergeCell ref="I58:J58"/>
    <mergeCell ref="K58:L58"/>
    <mergeCell ref="K59:L59"/>
    <mergeCell ref="E32:F32"/>
    <mergeCell ref="G32:H32"/>
    <mergeCell ref="I32:J32"/>
    <mergeCell ref="K32:L32"/>
    <mergeCell ref="G33:H33"/>
    <mergeCell ref="I33:J33"/>
    <mergeCell ref="K33:L33"/>
    <mergeCell ref="E33:F33"/>
    <mergeCell ref="E34:F34"/>
    <mergeCell ref="G34:H34"/>
    <mergeCell ref="I34:J34"/>
    <mergeCell ref="K34:L34"/>
    <mergeCell ref="E35:F35"/>
    <mergeCell ref="G35:H35"/>
    <mergeCell ref="E36:F36"/>
    <mergeCell ref="G36:H36"/>
    <mergeCell ref="I36:J36"/>
    <mergeCell ref="K36:L36"/>
    <mergeCell ref="G37:H37"/>
    <mergeCell ref="I37:J37"/>
    <mergeCell ref="K37:L37"/>
    <mergeCell ref="I39:J39"/>
    <mergeCell ref="K39:L39"/>
    <mergeCell ref="E37:F37"/>
    <mergeCell ref="E38:F38"/>
    <mergeCell ref="G38:H38"/>
    <mergeCell ref="I38:J38"/>
    <mergeCell ref="K38:L38"/>
    <mergeCell ref="E39:F39"/>
    <mergeCell ref="G39:H39"/>
    <mergeCell ref="E40:F40"/>
    <mergeCell ref="G40:H40"/>
    <mergeCell ref="I40:J40"/>
    <mergeCell ref="K40:L40"/>
    <mergeCell ref="G41:H41"/>
    <mergeCell ref="I41:J41"/>
    <mergeCell ref="K41:L41"/>
    <mergeCell ref="E59:F59"/>
    <mergeCell ref="E60:F60"/>
    <mergeCell ref="G60:H60"/>
    <mergeCell ref="I60:J60"/>
    <mergeCell ref="K60:L60"/>
    <mergeCell ref="E71:F71"/>
    <mergeCell ref="G71:H71"/>
    <mergeCell ref="I71:J71"/>
    <mergeCell ref="K71:L71"/>
    <mergeCell ref="G72:H72"/>
    <mergeCell ref="I72:J72"/>
    <mergeCell ref="K72:L72"/>
    <mergeCell ref="E75:F75"/>
    <mergeCell ref="G75:H75"/>
    <mergeCell ref="I75:J75"/>
    <mergeCell ref="K75:L75"/>
    <mergeCell ref="E76:F76"/>
    <mergeCell ref="G76:H76"/>
    <mergeCell ref="I76:J76"/>
    <mergeCell ref="K76:L76"/>
    <mergeCell ref="E72:F72"/>
    <mergeCell ref="E73:F73"/>
    <mergeCell ref="G73:H73"/>
    <mergeCell ref="I73:J73"/>
    <mergeCell ref="K73:L73"/>
    <mergeCell ref="E74:F74"/>
    <mergeCell ref="G74:H74"/>
    <mergeCell ref="E51:F51"/>
    <mergeCell ref="E52:F52"/>
    <mergeCell ref="G52:H52"/>
    <mergeCell ref="I52:J52"/>
    <mergeCell ref="K52:L52"/>
    <mergeCell ref="E53:F53"/>
    <mergeCell ref="G53:H53"/>
    <mergeCell ref="I53:J53"/>
    <mergeCell ref="K53:L53"/>
    <mergeCell ref="C61:O61"/>
    <mergeCell ref="E62:F62"/>
    <mergeCell ref="G62:H62"/>
    <mergeCell ref="I62:J62"/>
    <mergeCell ref="K62:L62"/>
    <mergeCell ref="E63:F63"/>
    <mergeCell ref="G63:H63"/>
    <mergeCell ref="I63:J63"/>
    <mergeCell ref="K63:L63"/>
    <mergeCell ref="G64:H64"/>
    <mergeCell ref="I64:J64"/>
    <mergeCell ref="K64:L64"/>
    <mergeCell ref="I66:J66"/>
    <mergeCell ref="K66:L66"/>
    <mergeCell ref="E64:F64"/>
    <mergeCell ref="E65:F65"/>
    <mergeCell ref="G65:H65"/>
    <mergeCell ref="I65:J65"/>
    <mergeCell ref="K65:L65"/>
    <mergeCell ref="E66:F66"/>
    <mergeCell ref="G66:H66"/>
    <mergeCell ref="I70:J70"/>
    <mergeCell ref="K70:L70"/>
    <mergeCell ref="I74:J74"/>
    <mergeCell ref="K74:L74"/>
    <mergeCell ref="N21:O21"/>
    <mergeCell ref="C22:O22"/>
    <mergeCell ref="C23:M23"/>
    <mergeCell ref="G24:H24"/>
    <mergeCell ref="I24:J24"/>
    <mergeCell ref="K24:L24"/>
    <mergeCell ref="C25:O25"/>
    <mergeCell ref="E24:F24"/>
    <mergeCell ref="E26:F26"/>
    <mergeCell ref="G26:H26"/>
    <mergeCell ref="I26:J26"/>
    <mergeCell ref="K26:L26"/>
    <mergeCell ref="E27:F27"/>
    <mergeCell ref="G27:H27"/>
    <mergeCell ref="G29:H29"/>
    <mergeCell ref="I29:J29"/>
    <mergeCell ref="I27:J27"/>
    <mergeCell ref="K27:L27"/>
    <mergeCell ref="E28:F28"/>
    <mergeCell ref="G28:H28"/>
    <mergeCell ref="I28:J28"/>
    <mergeCell ref="K28:L28"/>
    <mergeCell ref="K29:L29"/>
    <mergeCell ref="I31:J31"/>
    <mergeCell ref="K31:L31"/>
    <mergeCell ref="E29:F29"/>
    <mergeCell ref="E30:F30"/>
    <mergeCell ref="G30:H30"/>
    <mergeCell ref="I30:J30"/>
    <mergeCell ref="K30:L30"/>
    <mergeCell ref="E31:F31"/>
    <mergeCell ref="G31:H31"/>
    <mergeCell ref="C10:D10"/>
    <mergeCell ref="C11:D11"/>
    <mergeCell ref="C12:D12"/>
    <mergeCell ref="C13:D13"/>
    <mergeCell ref="C5:O6"/>
    <mergeCell ref="C7:O7"/>
    <mergeCell ref="C8:D8"/>
    <mergeCell ref="E8:O8"/>
    <mergeCell ref="C9:D9"/>
    <mergeCell ref="E9:O9"/>
    <mergeCell ref="E10:O10"/>
    <mergeCell ref="E11:O11"/>
    <mergeCell ref="E12:O12"/>
    <mergeCell ref="E13:O13"/>
    <mergeCell ref="H14:O14"/>
    <mergeCell ref="H15:O15"/>
    <mergeCell ref="C16:O16"/>
    <mergeCell ref="C17:O17"/>
    <mergeCell ref="F19:G19"/>
    <mergeCell ref="H19:I19"/>
    <mergeCell ref="D20:E20"/>
    <mergeCell ref="F20:G20"/>
    <mergeCell ref="H20:I20"/>
    <mergeCell ref="D21:E21"/>
    <mergeCell ref="F21:G21"/>
    <mergeCell ref="H21:I21"/>
    <mergeCell ref="D18:E18"/>
    <mergeCell ref="F18:G18"/>
    <mergeCell ref="H18:I18"/>
    <mergeCell ref="J18:K18"/>
    <mergeCell ref="L18:M18"/>
    <mergeCell ref="N18:O18"/>
    <mergeCell ref="D19:E19"/>
    <mergeCell ref="N19:O19"/>
    <mergeCell ref="J19:K19"/>
    <mergeCell ref="L19:M19"/>
    <mergeCell ref="J20:K20"/>
    <mergeCell ref="L20:M20"/>
    <mergeCell ref="N20:O20"/>
    <mergeCell ref="J21:K21"/>
    <mergeCell ref="L21:M21"/>
    <mergeCell ref="I35:J35"/>
    <mergeCell ref="K35:L35"/>
    <mergeCell ref="E41:F41"/>
    <mergeCell ref="E42:F42"/>
    <mergeCell ref="G42:H42"/>
    <mergeCell ref="I42:J42"/>
    <mergeCell ref="K42:L42"/>
    <mergeCell ref="E43:F43"/>
    <mergeCell ref="G43:H43"/>
    <mergeCell ref="I43:J43"/>
    <mergeCell ref="K43:L43"/>
    <mergeCell ref="C44:O44"/>
    <mergeCell ref="E45:F45"/>
    <mergeCell ref="G45:H45"/>
    <mergeCell ref="I45:J45"/>
    <mergeCell ref="K45:L45"/>
    <mergeCell ref="G51:H51"/>
    <mergeCell ref="I51:J51"/>
    <mergeCell ref="I49:J49"/>
    <mergeCell ref="K49:L49"/>
    <mergeCell ref="E50:F50"/>
    <mergeCell ref="G50:H50"/>
    <mergeCell ref="I50:J50"/>
    <mergeCell ref="K50:L50"/>
    <mergeCell ref="K51:L51"/>
    <mergeCell ref="E67:F67"/>
    <mergeCell ref="G67:H67"/>
    <mergeCell ref="I67:J67"/>
    <mergeCell ref="K67:L67"/>
    <mergeCell ref="G68:H68"/>
    <mergeCell ref="I68:J68"/>
    <mergeCell ref="K68:L68"/>
    <mergeCell ref="E68:F68"/>
    <mergeCell ref="E69:F69"/>
    <mergeCell ref="G69:H69"/>
    <mergeCell ref="I69:J69"/>
    <mergeCell ref="K69:L69"/>
    <mergeCell ref="E70:F70"/>
    <mergeCell ref="G70:H70"/>
  </mergeCells>
  <dataValidations>
    <dataValidation type="list" allowBlank="1" showErrorMessage="1" sqref="N26:N43 N45:N60 N62:N76">
      <formula1>"Pass,Fail,N/A"</formula1>
    </dataValidation>
    <dataValidation type="list" allowBlank="1" showErrorMessage="1" sqref="J19:J21">
      <formula1>"Decision Table Testing (Kiểm thử bảng quyết định),Equivalence Partitioning (Phân vùng tương đương),Boundary value analysis technique (Phân tích giá trị biên),State transition testing (Kiểm thử chuyển đổi trạng thái),Pairwise testing (Kiểm thử cặp đôi),Met"&amp;"amorphic testing (Kiểm thử biến hình)"</formula1>
    </dataValidation>
    <dataValidation type="list" allowBlank="1" showErrorMessage="1" sqref="F19:F21">
      <formula1>"Test,Untest"</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88"/>
    <col customWidth="1" min="5" max="5" width="46.38"/>
  </cols>
  <sheetData>
    <row r="1">
      <c r="A1" s="89" t="s">
        <v>258</v>
      </c>
      <c r="G1" s="90"/>
      <c r="H1" s="90"/>
      <c r="I1" s="91"/>
      <c r="J1" s="91"/>
      <c r="K1" s="91"/>
      <c r="L1" s="91"/>
      <c r="M1" s="91"/>
      <c r="N1" s="90"/>
      <c r="O1" s="90"/>
      <c r="P1" s="90"/>
      <c r="Q1" s="90"/>
      <c r="R1" s="90"/>
      <c r="S1" s="90"/>
      <c r="T1" s="90"/>
      <c r="U1" s="90"/>
      <c r="V1" s="90"/>
      <c r="W1" s="90"/>
      <c r="X1" s="90"/>
      <c r="Y1" s="90"/>
      <c r="Z1" s="90"/>
    </row>
    <row r="2">
      <c r="A2" s="92" t="s">
        <v>259</v>
      </c>
      <c r="B2" s="93" t="s">
        <v>260</v>
      </c>
      <c r="C2" s="7"/>
      <c r="D2" s="7"/>
      <c r="E2" s="7"/>
      <c r="F2" s="24"/>
      <c r="G2" s="90"/>
      <c r="H2" s="90"/>
      <c r="I2" s="91"/>
      <c r="J2" s="91"/>
      <c r="K2" s="91"/>
      <c r="L2" s="91"/>
      <c r="M2" s="91"/>
      <c r="N2" s="90"/>
      <c r="O2" s="90"/>
      <c r="P2" s="90"/>
      <c r="Q2" s="90"/>
      <c r="R2" s="90"/>
      <c r="S2" s="90"/>
      <c r="T2" s="90"/>
      <c r="U2" s="90"/>
      <c r="V2" s="90"/>
      <c r="W2" s="90"/>
      <c r="X2" s="90"/>
      <c r="Y2" s="90"/>
      <c r="Z2" s="90"/>
    </row>
    <row r="3">
      <c r="A3" s="92" t="s">
        <v>261</v>
      </c>
      <c r="B3" s="93" t="s">
        <v>262</v>
      </c>
      <c r="C3" s="7"/>
      <c r="D3" s="7"/>
      <c r="E3" s="7"/>
      <c r="F3" s="24"/>
      <c r="G3" s="90"/>
      <c r="H3" s="90"/>
      <c r="I3" s="91"/>
      <c r="J3" s="91"/>
      <c r="K3" s="91"/>
      <c r="L3" s="91"/>
      <c r="M3" s="91"/>
      <c r="N3" s="90"/>
      <c r="O3" s="90"/>
      <c r="P3" s="90"/>
      <c r="Q3" s="90"/>
      <c r="R3" s="90"/>
      <c r="S3" s="90"/>
      <c r="T3" s="90"/>
      <c r="U3" s="90"/>
      <c r="V3" s="90"/>
      <c r="W3" s="90"/>
      <c r="X3" s="90"/>
      <c r="Y3" s="90"/>
      <c r="Z3" s="90"/>
    </row>
    <row r="4">
      <c r="A4" s="92" t="s">
        <v>263</v>
      </c>
      <c r="B4" s="93" t="s">
        <v>264</v>
      </c>
      <c r="C4" s="7"/>
      <c r="D4" s="24"/>
      <c r="E4" s="94"/>
      <c r="F4" s="94"/>
      <c r="G4" s="90"/>
      <c r="H4" s="90"/>
      <c r="I4" s="91"/>
      <c r="J4" s="91"/>
      <c r="K4" s="91"/>
      <c r="L4" s="91"/>
      <c r="M4" s="91"/>
      <c r="N4" s="90"/>
      <c r="O4" s="90"/>
      <c r="P4" s="90"/>
      <c r="Q4" s="90"/>
      <c r="R4" s="90"/>
      <c r="S4" s="90"/>
      <c r="T4" s="90"/>
      <c r="U4" s="90"/>
      <c r="V4" s="90"/>
      <c r="W4" s="90"/>
      <c r="X4" s="90"/>
      <c r="Y4" s="90"/>
      <c r="Z4" s="90"/>
    </row>
    <row r="5">
      <c r="A5" s="92" t="s">
        <v>265</v>
      </c>
      <c r="B5" s="93">
        <v>1.0</v>
      </c>
      <c r="C5" s="7"/>
      <c r="D5" s="7"/>
      <c r="E5" s="7"/>
      <c r="F5" s="24"/>
      <c r="G5" s="90"/>
      <c r="H5" s="90"/>
      <c r="I5" s="91"/>
      <c r="J5" s="91"/>
      <c r="K5" s="91"/>
      <c r="L5" s="91"/>
      <c r="M5" s="91"/>
      <c r="N5" s="90"/>
      <c r="O5" s="90"/>
      <c r="P5" s="90"/>
      <c r="Q5" s="90"/>
      <c r="R5" s="90"/>
      <c r="S5" s="90"/>
      <c r="T5" s="90"/>
      <c r="U5" s="90"/>
      <c r="V5" s="90"/>
      <c r="W5" s="90"/>
      <c r="X5" s="90"/>
      <c r="Y5" s="90"/>
      <c r="Z5" s="90"/>
    </row>
    <row r="6">
      <c r="A6" s="92" t="s">
        <v>266</v>
      </c>
      <c r="B6" s="93" t="s">
        <v>17</v>
      </c>
      <c r="C6" s="7"/>
      <c r="D6" s="7"/>
      <c r="E6" s="7"/>
      <c r="F6" s="24"/>
      <c r="G6" s="90"/>
      <c r="H6" s="90"/>
      <c r="I6" s="91"/>
      <c r="J6" s="91"/>
      <c r="K6" s="91"/>
      <c r="L6" s="91"/>
      <c r="M6" s="91"/>
      <c r="N6" s="90"/>
      <c r="O6" s="90"/>
      <c r="P6" s="90"/>
      <c r="Q6" s="90"/>
      <c r="R6" s="90"/>
      <c r="S6" s="90"/>
      <c r="T6" s="90"/>
      <c r="U6" s="90"/>
      <c r="V6" s="90"/>
      <c r="W6" s="90"/>
      <c r="X6" s="90"/>
      <c r="Y6" s="90"/>
      <c r="Z6" s="90"/>
    </row>
    <row r="7">
      <c r="A7" s="92" t="s">
        <v>267</v>
      </c>
      <c r="B7" s="95">
        <v>45789.0</v>
      </c>
      <c r="C7" s="7"/>
      <c r="D7" s="7"/>
      <c r="E7" s="7"/>
      <c r="F7" s="24"/>
      <c r="G7" s="90"/>
      <c r="H7" s="90"/>
      <c r="I7" s="91"/>
      <c r="J7" s="91"/>
      <c r="K7" s="91"/>
      <c r="L7" s="91"/>
      <c r="M7" s="91"/>
      <c r="N7" s="90"/>
      <c r="O7" s="90"/>
      <c r="P7" s="90"/>
      <c r="Q7" s="90"/>
      <c r="R7" s="90"/>
      <c r="S7" s="90"/>
      <c r="T7" s="90"/>
      <c r="U7" s="90"/>
      <c r="V7" s="90"/>
      <c r="W7" s="90"/>
      <c r="X7" s="90"/>
      <c r="Y7" s="90"/>
      <c r="Z7" s="90"/>
    </row>
    <row r="8">
      <c r="A8" s="92" t="s">
        <v>268</v>
      </c>
      <c r="B8" s="93" t="s">
        <v>269</v>
      </c>
      <c r="C8" s="7"/>
      <c r="D8" s="7"/>
      <c r="E8" s="7"/>
      <c r="F8" s="24"/>
      <c r="G8" s="90"/>
      <c r="H8" s="90"/>
      <c r="I8" s="91"/>
      <c r="J8" s="91"/>
      <c r="K8" s="91"/>
      <c r="L8" s="91"/>
      <c r="M8" s="91"/>
      <c r="N8" s="90"/>
      <c r="O8" s="90"/>
      <c r="P8" s="90"/>
      <c r="Q8" s="90"/>
      <c r="R8" s="90"/>
      <c r="S8" s="90"/>
      <c r="T8" s="90"/>
      <c r="U8" s="90"/>
      <c r="V8" s="90"/>
      <c r="W8" s="90"/>
      <c r="X8" s="90"/>
      <c r="Y8" s="90"/>
      <c r="Z8" s="90"/>
    </row>
    <row r="9">
      <c r="A9" s="92" t="s">
        <v>270</v>
      </c>
      <c r="B9" s="93">
        <v>8.0</v>
      </c>
      <c r="C9" s="7"/>
      <c r="D9" s="7"/>
      <c r="E9" s="7"/>
      <c r="F9" s="24"/>
      <c r="G9" s="90"/>
      <c r="H9" s="90"/>
      <c r="I9" s="91"/>
      <c r="J9" s="91"/>
      <c r="K9" s="91"/>
      <c r="L9" s="91"/>
      <c r="M9" s="91"/>
      <c r="N9" s="90"/>
      <c r="O9" s="90"/>
      <c r="P9" s="90"/>
      <c r="Q9" s="90"/>
      <c r="R9" s="90"/>
      <c r="S9" s="90"/>
      <c r="T9" s="90"/>
      <c r="U9" s="90"/>
      <c r="V9" s="90"/>
      <c r="W9" s="90"/>
      <c r="X9" s="90"/>
      <c r="Y9" s="90"/>
      <c r="Z9" s="90"/>
    </row>
    <row r="10">
      <c r="A10" s="96" t="s">
        <v>271</v>
      </c>
      <c r="B10" s="97" t="s">
        <v>272</v>
      </c>
      <c r="C10" s="97" t="s">
        <v>273</v>
      </c>
      <c r="D10" s="97" t="s">
        <v>42</v>
      </c>
      <c r="E10" s="98" t="s">
        <v>51</v>
      </c>
      <c r="F10" s="99" t="s">
        <v>274</v>
      </c>
      <c r="G10" s="90"/>
      <c r="H10" s="90"/>
      <c r="I10" s="91"/>
      <c r="J10" s="91"/>
      <c r="K10" s="91"/>
      <c r="L10" s="91"/>
      <c r="M10" s="91"/>
      <c r="N10" s="90"/>
      <c r="O10" s="90"/>
      <c r="P10" s="90"/>
      <c r="Q10" s="90"/>
      <c r="R10" s="90"/>
      <c r="S10" s="90"/>
      <c r="T10" s="90"/>
      <c r="U10" s="90"/>
      <c r="V10" s="90"/>
      <c r="W10" s="90"/>
      <c r="X10" s="90"/>
      <c r="Y10" s="90"/>
      <c r="Z10" s="90"/>
    </row>
    <row r="11">
      <c r="A11" s="100" t="s">
        <v>275</v>
      </c>
      <c r="B11" s="101"/>
      <c r="C11" s="101"/>
      <c r="D11" s="101"/>
      <c r="E11" s="102"/>
      <c r="F11" s="103"/>
      <c r="G11" s="90"/>
      <c r="H11" s="90"/>
      <c r="I11" s="90"/>
      <c r="J11" s="90"/>
      <c r="K11" s="90"/>
      <c r="L11" s="90"/>
      <c r="M11" s="90"/>
      <c r="N11" s="90"/>
      <c r="O11" s="90"/>
      <c r="P11" s="90"/>
      <c r="Q11" s="90"/>
      <c r="R11" s="90"/>
      <c r="S11" s="90"/>
      <c r="T11" s="90"/>
      <c r="U11" s="90"/>
    </row>
    <row r="12">
      <c r="A12" s="104" t="s">
        <v>276</v>
      </c>
      <c r="B12" s="105"/>
      <c r="C12" s="105"/>
      <c r="D12" s="105"/>
      <c r="E12" s="106"/>
      <c r="F12" s="107" t="s">
        <v>277</v>
      </c>
      <c r="G12" s="90"/>
      <c r="H12" s="90"/>
      <c r="I12" s="90"/>
      <c r="J12" s="90"/>
      <c r="K12" s="90"/>
      <c r="L12" s="90"/>
      <c r="M12" s="90"/>
      <c r="N12" s="90"/>
      <c r="O12" s="90"/>
      <c r="P12" s="90"/>
      <c r="Q12" s="90"/>
      <c r="R12" s="90"/>
      <c r="S12" s="90"/>
      <c r="T12" s="90"/>
      <c r="U12" s="90"/>
    </row>
    <row r="13">
      <c r="A13" s="104" t="s">
        <v>278</v>
      </c>
      <c r="B13" s="108" t="s">
        <v>279</v>
      </c>
      <c r="C13" s="105"/>
      <c r="D13" s="105"/>
      <c r="E13" s="106"/>
      <c r="F13" s="107" t="s">
        <v>277</v>
      </c>
      <c r="G13" s="90"/>
      <c r="H13" s="90"/>
      <c r="I13" s="90"/>
      <c r="J13" s="90"/>
      <c r="K13" s="90"/>
      <c r="L13" s="90"/>
      <c r="M13" s="90"/>
      <c r="N13" s="90"/>
      <c r="O13" s="90"/>
      <c r="P13" s="90"/>
      <c r="Q13" s="90"/>
      <c r="R13" s="90"/>
      <c r="S13" s="90"/>
      <c r="T13" s="90"/>
      <c r="U13" s="90"/>
    </row>
    <row r="14">
      <c r="A14" s="104" t="s">
        <v>280</v>
      </c>
      <c r="B14" s="108" t="s">
        <v>279</v>
      </c>
      <c r="C14" s="105"/>
      <c r="D14" s="105"/>
      <c r="E14" s="109" t="s">
        <v>281</v>
      </c>
      <c r="F14" s="107" t="s">
        <v>277</v>
      </c>
      <c r="G14" s="90"/>
      <c r="H14" s="90"/>
      <c r="I14" s="90"/>
      <c r="J14" s="90"/>
      <c r="K14" s="90"/>
      <c r="L14" s="90"/>
      <c r="M14" s="90"/>
      <c r="N14" s="90"/>
      <c r="O14" s="90"/>
      <c r="P14" s="90"/>
      <c r="Q14" s="90"/>
      <c r="R14" s="90"/>
      <c r="S14" s="90"/>
      <c r="T14" s="90"/>
      <c r="U14" s="90"/>
    </row>
    <row r="15">
      <c r="A15" s="104" t="s">
        <v>282</v>
      </c>
      <c r="B15" s="108" t="s">
        <v>279</v>
      </c>
      <c r="C15" s="105"/>
      <c r="D15" s="105"/>
      <c r="E15" s="106"/>
      <c r="F15" s="107" t="s">
        <v>277</v>
      </c>
      <c r="G15" s="90"/>
      <c r="H15" s="90"/>
      <c r="I15" s="90"/>
      <c r="J15" s="90"/>
      <c r="K15" s="90"/>
      <c r="L15" s="90"/>
      <c r="M15" s="90"/>
      <c r="N15" s="90"/>
      <c r="O15" s="90"/>
      <c r="P15" s="90"/>
      <c r="Q15" s="90"/>
      <c r="R15" s="90"/>
      <c r="S15" s="90"/>
      <c r="T15" s="90"/>
      <c r="U15" s="90"/>
    </row>
    <row r="16">
      <c r="A16" s="104" t="s">
        <v>283</v>
      </c>
      <c r="B16" s="108" t="s">
        <v>279</v>
      </c>
      <c r="C16" s="105"/>
      <c r="D16" s="105"/>
      <c r="E16" s="106"/>
      <c r="F16" s="107" t="s">
        <v>277</v>
      </c>
      <c r="G16" s="90"/>
      <c r="H16" s="90"/>
      <c r="I16" s="90"/>
      <c r="J16" s="90"/>
      <c r="K16" s="90"/>
      <c r="L16" s="90"/>
      <c r="M16" s="90"/>
      <c r="N16" s="90"/>
      <c r="O16" s="90"/>
      <c r="P16" s="90"/>
      <c r="Q16" s="90"/>
      <c r="R16" s="90"/>
      <c r="S16" s="90"/>
      <c r="T16" s="90"/>
      <c r="U16" s="90"/>
    </row>
    <row r="17">
      <c r="A17" s="104" t="s">
        <v>284</v>
      </c>
      <c r="B17" s="108" t="s">
        <v>279</v>
      </c>
      <c r="C17" s="105"/>
      <c r="D17" s="105"/>
      <c r="E17" s="106"/>
      <c r="F17" s="107" t="s">
        <v>277</v>
      </c>
      <c r="G17" s="90"/>
      <c r="H17" s="90"/>
      <c r="I17" s="90"/>
      <c r="J17" s="90"/>
      <c r="K17" s="90"/>
      <c r="L17" s="90"/>
      <c r="M17" s="90"/>
      <c r="N17" s="90"/>
      <c r="O17" s="90"/>
      <c r="P17" s="90"/>
      <c r="Q17" s="90"/>
      <c r="R17" s="90"/>
      <c r="S17" s="90"/>
      <c r="T17" s="90"/>
      <c r="U17" s="90"/>
    </row>
    <row r="18">
      <c r="A18" s="104" t="s">
        <v>285</v>
      </c>
      <c r="B18" s="108" t="s">
        <v>279</v>
      </c>
      <c r="C18" s="105"/>
      <c r="D18" s="105"/>
      <c r="E18" s="106"/>
      <c r="F18" s="107" t="s">
        <v>277</v>
      </c>
      <c r="G18" s="90"/>
      <c r="H18" s="90"/>
      <c r="I18" s="90"/>
      <c r="J18" s="90"/>
      <c r="K18" s="90"/>
      <c r="L18" s="90"/>
      <c r="M18" s="90"/>
      <c r="N18" s="90"/>
      <c r="O18" s="90"/>
      <c r="P18" s="90"/>
      <c r="Q18" s="90"/>
      <c r="R18" s="90"/>
      <c r="S18" s="90"/>
      <c r="T18" s="90"/>
      <c r="U18" s="90"/>
    </row>
    <row r="19">
      <c r="A19" s="104" t="s">
        <v>286</v>
      </c>
      <c r="B19" s="105"/>
      <c r="C19" s="105"/>
      <c r="D19" s="110"/>
      <c r="E19" s="111" t="s">
        <v>287</v>
      </c>
      <c r="F19" s="112"/>
      <c r="G19" s="90"/>
      <c r="H19" s="90"/>
      <c r="I19" s="90"/>
      <c r="J19" s="90"/>
      <c r="K19" s="90"/>
      <c r="L19" s="90"/>
      <c r="M19" s="90"/>
      <c r="N19" s="90"/>
      <c r="O19" s="90"/>
      <c r="P19" s="90"/>
      <c r="Q19" s="90"/>
      <c r="R19" s="90"/>
      <c r="S19" s="90"/>
      <c r="T19" s="90"/>
      <c r="U19" s="90"/>
    </row>
    <row r="20" ht="33.0" customHeight="1">
      <c r="A20" s="104" t="s">
        <v>288</v>
      </c>
      <c r="B20" s="105"/>
      <c r="C20" s="105"/>
      <c r="D20" s="113" t="s">
        <v>279</v>
      </c>
      <c r="F20" s="107" t="s">
        <v>277</v>
      </c>
      <c r="G20" s="90"/>
      <c r="H20" s="90"/>
      <c r="I20" s="90"/>
      <c r="J20" s="90"/>
      <c r="K20" s="90"/>
      <c r="L20" s="90"/>
      <c r="M20" s="90"/>
      <c r="N20" s="90"/>
      <c r="O20" s="90"/>
      <c r="P20" s="90"/>
      <c r="Q20" s="90"/>
      <c r="R20" s="90"/>
      <c r="S20" s="90"/>
      <c r="T20" s="90"/>
      <c r="U20" s="90"/>
    </row>
    <row r="21">
      <c r="A21" s="114" t="s">
        <v>289</v>
      </c>
      <c r="B21" s="101"/>
      <c r="C21" s="101"/>
      <c r="D21" s="101"/>
      <c r="E21" s="115"/>
      <c r="F21" s="116"/>
      <c r="G21" s="90"/>
      <c r="H21" s="90"/>
      <c r="I21" s="90"/>
      <c r="J21" s="90"/>
      <c r="K21" s="90"/>
      <c r="L21" s="90"/>
      <c r="M21" s="90"/>
      <c r="N21" s="90"/>
      <c r="O21" s="90"/>
      <c r="P21" s="90"/>
      <c r="Q21" s="90"/>
      <c r="R21" s="90"/>
      <c r="S21" s="90"/>
      <c r="T21" s="90"/>
      <c r="U21" s="90"/>
    </row>
    <row r="22">
      <c r="A22" s="104" t="s">
        <v>290</v>
      </c>
      <c r="B22" s="108" t="s">
        <v>279</v>
      </c>
      <c r="C22" s="105"/>
      <c r="D22" s="105"/>
      <c r="E22" s="117"/>
      <c r="F22" s="107" t="s">
        <v>277</v>
      </c>
      <c r="G22" s="90"/>
      <c r="H22" s="90"/>
      <c r="I22" s="90"/>
      <c r="J22" s="90"/>
      <c r="K22" s="90"/>
      <c r="L22" s="90"/>
      <c r="M22" s="90"/>
      <c r="N22" s="90"/>
      <c r="O22" s="90"/>
      <c r="P22" s="90"/>
      <c r="Q22" s="90"/>
      <c r="R22" s="90"/>
      <c r="S22" s="90"/>
      <c r="T22" s="90"/>
      <c r="U22" s="90"/>
    </row>
    <row r="23">
      <c r="A23" s="104" t="s">
        <v>291</v>
      </c>
      <c r="B23" s="108" t="s">
        <v>279</v>
      </c>
      <c r="C23" s="105"/>
      <c r="D23" s="105"/>
      <c r="E23" s="117"/>
      <c r="F23" s="112"/>
      <c r="G23" s="90"/>
      <c r="H23" s="90"/>
      <c r="I23" s="90"/>
      <c r="J23" s="90"/>
      <c r="K23" s="90"/>
      <c r="L23" s="90"/>
      <c r="M23" s="90"/>
      <c r="N23" s="90"/>
      <c r="O23" s="90"/>
      <c r="P23" s="90"/>
      <c r="Q23" s="90"/>
      <c r="R23" s="90"/>
      <c r="S23" s="90"/>
      <c r="T23" s="90"/>
      <c r="U23" s="90"/>
    </row>
    <row r="24">
      <c r="A24" s="104" t="s">
        <v>292</v>
      </c>
      <c r="B24" s="108" t="s">
        <v>279</v>
      </c>
      <c r="C24" s="105"/>
      <c r="D24" s="105"/>
      <c r="E24" s="117"/>
      <c r="F24" s="107" t="s">
        <v>277</v>
      </c>
      <c r="G24" s="90"/>
      <c r="H24" s="90"/>
      <c r="I24" s="90"/>
      <c r="J24" s="90"/>
      <c r="K24" s="90"/>
      <c r="L24" s="90"/>
      <c r="M24" s="90"/>
      <c r="N24" s="90"/>
      <c r="O24" s="90"/>
      <c r="P24" s="90"/>
      <c r="Q24" s="90"/>
      <c r="R24" s="90"/>
      <c r="S24" s="90"/>
      <c r="T24" s="90"/>
      <c r="U24" s="90"/>
    </row>
    <row r="25">
      <c r="A25" s="104" t="s">
        <v>293</v>
      </c>
      <c r="B25" s="108" t="s">
        <v>279</v>
      </c>
      <c r="C25" s="105"/>
      <c r="D25" s="105"/>
      <c r="E25" s="118"/>
      <c r="F25" s="112"/>
      <c r="G25" s="90"/>
      <c r="H25" s="90"/>
      <c r="I25" s="90"/>
      <c r="J25" s="90"/>
      <c r="K25" s="90"/>
      <c r="L25" s="90"/>
      <c r="M25" s="90"/>
      <c r="N25" s="90"/>
      <c r="O25" s="90"/>
      <c r="P25" s="90"/>
      <c r="Q25" s="90"/>
      <c r="R25" s="90"/>
      <c r="S25" s="90"/>
      <c r="T25" s="90"/>
      <c r="U25" s="90"/>
    </row>
    <row r="26">
      <c r="A26" s="104" t="s">
        <v>294</v>
      </c>
      <c r="B26" s="105"/>
      <c r="C26" s="105"/>
      <c r="D26" s="105"/>
      <c r="E26" s="118"/>
      <c r="F26" s="112"/>
      <c r="G26" s="90"/>
      <c r="H26" s="90"/>
      <c r="I26" s="90"/>
      <c r="J26" s="90"/>
      <c r="K26" s="90"/>
      <c r="L26" s="90"/>
      <c r="M26" s="90"/>
      <c r="N26" s="90"/>
      <c r="O26" s="90"/>
      <c r="P26" s="90"/>
      <c r="Q26" s="90"/>
      <c r="R26" s="90"/>
      <c r="S26" s="90"/>
      <c r="T26" s="90"/>
      <c r="U26" s="90"/>
    </row>
    <row r="27">
      <c r="A27" s="104" t="s">
        <v>295</v>
      </c>
      <c r="B27" s="108" t="s">
        <v>279</v>
      </c>
      <c r="C27" s="105"/>
      <c r="D27" s="105"/>
      <c r="E27" s="118"/>
      <c r="F27" s="112"/>
      <c r="G27" s="90"/>
      <c r="H27" s="90"/>
      <c r="I27" s="90"/>
      <c r="J27" s="90"/>
      <c r="K27" s="90"/>
      <c r="L27" s="90"/>
      <c r="M27" s="90"/>
      <c r="N27" s="90"/>
      <c r="O27" s="90"/>
      <c r="P27" s="90"/>
      <c r="Q27" s="90"/>
      <c r="R27" s="90"/>
      <c r="S27" s="90"/>
      <c r="T27" s="90"/>
      <c r="U27" s="90"/>
    </row>
    <row r="28">
      <c r="A28" s="104" t="s">
        <v>296</v>
      </c>
      <c r="B28" s="108" t="s">
        <v>279</v>
      </c>
      <c r="C28" s="105"/>
      <c r="D28" s="105"/>
      <c r="E28" s="118"/>
      <c r="F28" s="112"/>
      <c r="G28" s="90"/>
      <c r="H28" s="90"/>
      <c r="I28" s="90"/>
      <c r="J28" s="90"/>
      <c r="K28" s="90"/>
      <c r="L28" s="90"/>
      <c r="M28" s="90"/>
      <c r="N28" s="90"/>
      <c r="O28" s="90"/>
      <c r="P28" s="90"/>
      <c r="Q28" s="90"/>
      <c r="R28" s="90"/>
      <c r="S28" s="90"/>
      <c r="T28" s="90"/>
      <c r="U28" s="90"/>
    </row>
    <row r="29">
      <c r="A29" s="104" t="s">
        <v>297</v>
      </c>
      <c r="B29" s="108" t="s">
        <v>279</v>
      </c>
      <c r="C29" s="105"/>
      <c r="D29" s="105"/>
      <c r="E29" s="118"/>
      <c r="F29" s="112"/>
      <c r="G29" s="90"/>
      <c r="H29" s="90"/>
      <c r="I29" s="90"/>
      <c r="J29" s="90"/>
      <c r="K29" s="90"/>
      <c r="L29" s="90"/>
      <c r="M29" s="90"/>
      <c r="N29" s="90"/>
      <c r="O29" s="90"/>
      <c r="P29" s="90"/>
      <c r="Q29" s="90"/>
      <c r="R29" s="90"/>
      <c r="S29" s="90"/>
      <c r="T29" s="90"/>
      <c r="U29" s="90"/>
    </row>
    <row r="30">
      <c r="A30" s="104" t="s">
        <v>298</v>
      </c>
      <c r="B30" s="108" t="s">
        <v>279</v>
      </c>
      <c r="C30" s="105"/>
      <c r="D30" s="105"/>
      <c r="E30" s="118"/>
      <c r="F30" s="107" t="s">
        <v>277</v>
      </c>
      <c r="G30" s="90"/>
      <c r="H30" s="90"/>
      <c r="I30" s="90"/>
      <c r="J30" s="90"/>
      <c r="K30" s="90"/>
      <c r="L30" s="90"/>
      <c r="M30" s="90"/>
      <c r="N30" s="90"/>
      <c r="O30" s="90"/>
      <c r="P30" s="90"/>
      <c r="Q30" s="90"/>
      <c r="R30" s="90"/>
      <c r="S30" s="90"/>
      <c r="T30" s="90"/>
      <c r="U30" s="90"/>
    </row>
    <row r="31">
      <c r="A31" s="104" t="s">
        <v>299</v>
      </c>
      <c r="B31" s="108" t="s">
        <v>279</v>
      </c>
      <c r="C31" s="105"/>
      <c r="D31" s="105"/>
      <c r="E31" s="118"/>
      <c r="F31" s="107" t="s">
        <v>277</v>
      </c>
      <c r="G31" s="90"/>
      <c r="H31" s="90"/>
      <c r="I31" s="90"/>
      <c r="J31" s="90"/>
      <c r="K31" s="90"/>
      <c r="L31" s="90"/>
      <c r="M31" s="90"/>
      <c r="N31" s="90"/>
      <c r="O31" s="90"/>
      <c r="P31" s="90"/>
      <c r="Q31" s="90"/>
      <c r="R31" s="90"/>
      <c r="S31" s="90"/>
      <c r="T31" s="90"/>
      <c r="U31" s="90"/>
    </row>
    <row r="32">
      <c r="A32" s="114" t="s">
        <v>300</v>
      </c>
      <c r="B32" s="101"/>
      <c r="C32" s="101"/>
      <c r="D32" s="101"/>
      <c r="E32" s="115"/>
      <c r="F32" s="116"/>
      <c r="G32" s="90"/>
      <c r="H32" s="90"/>
      <c r="I32" s="90"/>
      <c r="J32" s="90"/>
      <c r="K32" s="90"/>
      <c r="L32" s="90"/>
      <c r="M32" s="90"/>
      <c r="N32" s="90"/>
      <c r="O32" s="90"/>
      <c r="P32" s="90"/>
      <c r="Q32" s="90"/>
      <c r="R32" s="90"/>
      <c r="S32" s="90"/>
      <c r="T32" s="90"/>
      <c r="U32" s="90"/>
    </row>
    <row r="33">
      <c r="A33" s="104" t="s">
        <v>301</v>
      </c>
      <c r="B33" s="108" t="s">
        <v>279</v>
      </c>
      <c r="C33" s="105"/>
      <c r="D33" s="105"/>
      <c r="E33" s="117"/>
      <c r="F33" s="107" t="s">
        <v>277</v>
      </c>
      <c r="G33" s="90"/>
      <c r="H33" s="90"/>
      <c r="I33" s="90"/>
      <c r="J33" s="90"/>
      <c r="K33" s="90"/>
      <c r="L33" s="90"/>
      <c r="M33" s="90"/>
      <c r="N33" s="90"/>
      <c r="O33" s="90"/>
      <c r="P33" s="90"/>
      <c r="Q33" s="90"/>
      <c r="R33" s="90"/>
      <c r="S33" s="90"/>
      <c r="T33" s="90"/>
      <c r="U33" s="90"/>
    </row>
    <row r="34">
      <c r="A34" s="104" t="s">
        <v>302</v>
      </c>
      <c r="B34" s="108" t="s">
        <v>279</v>
      </c>
      <c r="C34" s="105"/>
      <c r="D34" s="105"/>
      <c r="E34" s="117"/>
      <c r="F34" s="107" t="s">
        <v>277</v>
      </c>
      <c r="G34" s="90"/>
      <c r="H34" s="90"/>
      <c r="I34" s="90"/>
      <c r="J34" s="90"/>
      <c r="K34" s="90"/>
      <c r="L34" s="90"/>
      <c r="M34" s="90"/>
      <c r="N34" s="90"/>
      <c r="O34" s="90"/>
      <c r="P34" s="90"/>
      <c r="Q34" s="90"/>
      <c r="R34" s="90"/>
      <c r="S34" s="90"/>
      <c r="T34" s="90"/>
      <c r="U34" s="90"/>
    </row>
    <row r="35">
      <c r="A35" s="104" t="s">
        <v>303</v>
      </c>
      <c r="B35" s="105"/>
      <c r="C35" s="105"/>
      <c r="D35" s="105"/>
      <c r="E35" s="117"/>
      <c r="F35" s="107" t="s">
        <v>277</v>
      </c>
      <c r="G35" s="90"/>
      <c r="H35" s="90"/>
      <c r="I35" s="90"/>
      <c r="J35" s="90"/>
      <c r="K35" s="90"/>
      <c r="L35" s="90"/>
      <c r="M35" s="90"/>
      <c r="N35" s="90"/>
      <c r="O35" s="90"/>
      <c r="P35" s="90"/>
      <c r="Q35" s="90"/>
      <c r="R35" s="90"/>
      <c r="S35" s="90"/>
      <c r="T35" s="90"/>
      <c r="U35" s="90"/>
    </row>
    <row r="36">
      <c r="A36" s="104" t="s">
        <v>304</v>
      </c>
      <c r="B36" s="108" t="s">
        <v>279</v>
      </c>
      <c r="C36" s="105"/>
      <c r="D36" s="105"/>
      <c r="E36" s="117"/>
      <c r="F36" s="112"/>
      <c r="G36" s="90"/>
      <c r="H36" s="90"/>
      <c r="I36" s="90"/>
      <c r="J36" s="90"/>
      <c r="K36" s="90"/>
      <c r="L36" s="90"/>
      <c r="M36" s="90"/>
      <c r="N36" s="90"/>
      <c r="O36" s="90"/>
      <c r="P36" s="90"/>
      <c r="Q36" s="90"/>
      <c r="R36" s="90"/>
      <c r="S36" s="90"/>
      <c r="T36" s="90"/>
      <c r="U36" s="90"/>
    </row>
    <row r="37">
      <c r="A37" s="104" t="s">
        <v>305</v>
      </c>
      <c r="B37" s="108" t="s">
        <v>279</v>
      </c>
      <c r="C37" s="105"/>
      <c r="D37" s="105"/>
      <c r="E37" s="117"/>
      <c r="F37" s="112"/>
      <c r="G37" s="90"/>
      <c r="H37" s="90"/>
      <c r="I37" s="90"/>
      <c r="J37" s="90"/>
      <c r="K37" s="90"/>
      <c r="L37" s="90"/>
      <c r="M37" s="90"/>
      <c r="N37" s="90"/>
      <c r="O37" s="90"/>
      <c r="P37" s="90"/>
      <c r="Q37" s="90"/>
      <c r="R37" s="90"/>
      <c r="S37" s="90"/>
      <c r="T37" s="90"/>
      <c r="U37" s="90"/>
    </row>
    <row r="38">
      <c r="A38" s="104" t="s">
        <v>306</v>
      </c>
      <c r="B38" s="108" t="s">
        <v>279</v>
      </c>
      <c r="C38" s="105"/>
      <c r="D38" s="105"/>
      <c r="E38" s="117"/>
      <c r="F38" s="112"/>
      <c r="G38" s="90"/>
      <c r="H38" s="90"/>
      <c r="I38" s="90"/>
      <c r="J38" s="90"/>
      <c r="K38" s="90"/>
      <c r="L38" s="90"/>
      <c r="M38" s="90"/>
      <c r="N38" s="90"/>
      <c r="O38" s="90"/>
      <c r="P38" s="90"/>
      <c r="Q38" s="90"/>
      <c r="R38" s="90"/>
      <c r="S38" s="90"/>
      <c r="T38" s="90"/>
      <c r="U38" s="90"/>
    </row>
    <row r="39">
      <c r="A39" s="104" t="s">
        <v>307</v>
      </c>
      <c r="B39" s="108" t="s">
        <v>279</v>
      </c>
      <c r="C39" s="105"/>
      <c r="D39" s="105"/>
      <c r="E39" s="117"/>
      <c r="F39" s="112"/>
      <c r="G39" s="90"/>
      <c r="H39" s="90"/>
      <c r="I39" s="90"/>
      <c r="J39" s="90"/>
      <c r="K39" s="90"/>
      <c r="L39" s="90"/>
      <c r="M39" s="90"/>
      <c r="N39" s="90"/>
      <c r="O39" s="90"/>
      <c r="P39" s="90"/>
      <c r="Q39" s="90"/>
      <c r="R39" s="90"/>
      <c r="S39" s="90"/>
      <c r="T39" s="90"/>
      <c r="U39" s="90"/>
    </row>
    <row r="40">
      <c r="A40" s="104" t="s">
        <v>308</v>
      </c>
      <c r="B40" s="108" t="s">
        <v>279</v>
      </c>
      <c r="C40" s="105"/>
      <c r="D40" s="105"/>
      <c r="E40" s="119"/>
      <c r="F40" s="112"/>
      <c r="G40" s="90"/>
      <c r="H40" s="90"/>
      <c r="I40" s="90"/>
      <c r="J40" s="90"/>
      <c r="K40" s="90"/>
      <c r="L40" s="90"/>
      <c r="M40" s="90"/>
      <c r="N40" s="90"/>
      <c r="O40" s="90"/>
      <c r="P40" s="90"/>
      <c r="Q40" s="90"/>
      <c r="R40" s="90"/>
      <c r="S40" s="90"/>
      <c r="T40" s="90"/>
      <c r="U40" s="90"/>
    </row>
    <row r="41">
      <c r="A41" s="104" t="s">
        <v>309</v>
      </c>
      <c r="B41" s="108" t="s">
        <v>279</v>
      </c>
      <c r="C41" s="105"/>
      <c r="D41" s="105"/>
      <c r="E41" s="120"/>
      <c r="F41" s="107" t="s">
        <v>277</v>
      </c>
      <c r="G41" s="90"/>
      <c r="H41" s="90"/>
      <c r="I41" s="90"/>
      <c r="J41" s="90"/>
      <c r="K41" s="90"/>
      <c r="L41" s="90"/>
      <c r="M41" s="90"/>
      <c r="N41" s="90"/>
      <c r="O41" s="90"/>
      <c r="P41" s="90"/>
      <c r="Q41" s="90"/>
      <c r="R41" s="90"/>
      <c r="S41" s="90"/>
      <c r="T41" s="90"/>
      <c r="U41" s="90"/>
    </row>
    <row r="42">
      <c r="A42" s="104" t="s">
        <v>310</v>
      </c>
      <c r="B42" s="108" t="s">
        <v>279</v>
      </c>
      <c r="C42" s="105"/>
      <c r="D42" s="105"/>
      <c r="E42" s="120"/>
      <c r="F42" s="112"/>
      <c r="G42" s="90"/>
      <c r="H42" s="90"/>
      <c r="I42" s="90"/>
      <c r="J42" s="90"/>
      <c r="K42" s="90"/>
      <c r="L42" s="90"/>
      <c r="M42" s="90"/>
      <c r="N42" s="90"/>
      <c r="O42" s="90"/>
      <c r="P42" s="90"/>
      <c r="Q42" s="90"/>
      <c r="R42" s="90"/>
      <c r="S42" s="90"/>
      <c r="T42" s="90"/>
      <c r="U42" s="90"/>
    </row>
    <row r="43">
      <c r="A43" s="104" t="s">
        <v>311</v>
      </c>
      <c r="B43" s="108" t="s">
        <v>279</v>
      </c>
      <c r="C43" s="105"/>
      <c r="D43" s="105"/>
      <c r="E43" s="119" t="s">
        <v>312</v>
      </c>
      <c r="F43" s="112"/>
      <c r="G43" s="90"/>
      <c r="H43" s="90"/>
      <c r="I43" s="90"/>
      <c r="J43" s="90"/>
      <c r="K43" s="90"/>
      <c r="L43" s="90"/>
      <c r="M43" s="90"/>
      <c r="N43" s="90"/>
      <c r="O43" s="90"/>
      <c r="P43" s="90"/>
      <c r="Q43" s="90"/>
      <c r="R43" s="90"/>
      <c r="S43" s="90"/>
      <c r="T43" s="90"/>
      <c r="U43" s="90"/>
    </row>
    <row r="44">
      <c r="A44" s="114" t="s">
        <v>313</v>
      </c>
      <c r="B44" s="101"/>
      <c r="C44" s="101"/>
      <c r="D44" s="101"/>
      <c r="E44" s="121"/>
      <c r="F44" s="116"/>
      <c r="G44" s="90"/>
      <c r="H44" s="90"/>
      <c r="I44" s="90"/>
      <c r="J44" s="90"/>
      <c r="K44" s="90"/>
      <c r="L44" s="90"/>
      <c r="M44" s="90"/>
      <c r="N44" s="90"/>
      <c r="O44" s="90"/>
      <c r="P44" s="90"/>
      <c r="Q44" s="90"/>
      <c r="R44" s="90"/>
      <c r="S44" s="90"/>
      <c r="T44" s="90"/>
      <c r="U44" s="90"/>
    </row>
    <row r="45">
      <c r="A45" s="104" t="s">
        <v>314</v>
      </c>
      <c r="B45" s="108" t="s">
        <v>279</v>
      </c>
      <c r="C45" s="105"/>
      <c r="D45" s="105"/>
      <c r="E45" s="122"/>
      <c r="F45" s="107" t="s">
        <v>277</v>
      </c>
      <c r="G45" s="90"/>
      <c r="H45" s="90"/>
      <c r="I45" s="90"/>
      <c r="J45" s="90"/>
      <c r="K45" s="90"/>
      <c r="L45" s="90"/>
      <c r="M45" s="90"/>
      <c r="N45" s="90"/>
      <c r="O45" s="90"/>
      <c r="P45" s="90"/>
      <c r="Q45" s="90"/>
      <c r="R45" s="90"/>
      <c r="S45" s="90"/>
      <c r="T45" s="90"/>
      <c r="U45" s="90"/>
    </row>
    <row r="46">
      <c r="A46" s="104" t="s">
        <v>315</v>
      </c>
      <c r="B46" s="123" t="s">
        <v>279</v>
      </c>
      <c r="C46" s="124"/>
      <c r="D46" s="124"/>
      <c r="E46" s="122"/>
      <c r="F46" s="125" t="s">
        <v>277</v>
      </c>
      <c r="G46" s="90"/>
      <c r="H46" s="90"/>
      <c r="I46" s="90"/>
      <c r="J46" s="90"/>
      <c r="K46" s="90"/>
      <c r="L46" s="90"/>
      <c r="M46" s="90"/>
      <c r="N46" s="90"/>
      <c r="O46" s="90"/>
      <c r="P46" s="90"/>
      <c r="Q46" s="90"/>
      <c r="R46" s="90"/>
      <c r="S46" s="90"/>
      <c r="T46" s="90"/>
      <c r="U46" s="90"/>
    </row>
    <row r="47">
      <c r="A47" s="104" t="s">
        <v>316</v>
      </c>
      <c r="B47" s="105"/>
      <c r="C47" s="108" t="s">
        <v>279</v>
      </c>
      <c r="D47" s="105"/>
      <c r="E47" s="126" t="s">
        <v>317</v>
      </c>
      <c r="F47" s="107" t="s">
        <v>277</v>
      </c>
      <c r="G47" s="90"/>
      <c r="H47" s="90"/>
      <c r="I47" s="90"/>
      <c r="J47" s="90"/>
      <c r="K47" s="90"/>
      <c r="L47" s="90"/>
      <c r="M47" s="90"/>
      <c r="N47" s="90"/>
      <c r="O47" s="90"/>
      <c r="P47" s="90"/>
      <c r="Q47" s="90"/>
      <c r="R47" s="90"/>
      <c r="S47" s="90"/>
      <c r="T47" s="90"/>
      <c r="U47" s="90"/>
    </row>
    <row r="48">
      <c r="A48" s="104" t="s">
        <v>318</v>
      </c>
      <c r="B48" s="108" t="s">
        <v>279</v>
      </c>
      <c r="C48" s="105"/>
      <c r="D48" s="105"/>
      <c r="E48" s="122"/>
      <c r="F48" s="107" t="s">
        <v>277</v>
      </c>
      <c r="G48" s="90"/>
      <c r="H48" s="90"/>
      <c r="I48" s="90"/>
      <c r="J48" s="90"/>
      <c r="K48" s="90"/>
      <c r="L48" s="90"/>
      <c r="M48" s="90"/>
      <c r="N48" s="90"/>
      <c r="O48" s="90"/>
      <c r="P48" s="90"/>
      <c r="Q48" s="90"/>
      <c r="R48" s="90"/>
      <c r="S48" s="90"/>
      <c r="T48" s="90"/>
      <c r="U48" s="90"/>
    </row>
    <row r="49">
      <c r="A49" s="104" t="s">
        <v>319</v>
      </c>
      <c r="B49" s="108" t="s">
        <v>279</v>
      </c>
      <c r="C49" s="105"/>
      <c r="D49" s="105"/>
      <c r="E49" s="122"/>
      <c r="F49" s="112"/>
      <c r="G49" s="90"/>
      <c r="H49" s="90"/>
      <c r="I49" s="90"/>
      <c r="J49" s="90"/>
      <c r="K49" s="90"/>
      <c r="L49" s="90"/>
      <c r="M49" s="90"/>
      <c r="N49" s="90"/>
      <c r="O49" s="90"/>
      <c r="P49" s="90"/>
      <c r="Q49" s="90"/>
      <c r="R49" s="90"/>
      <c r="S49" s="90"/>
      <c r="T49" s="90"/>
      <c r="U49" s="90"/>
    </row>
    <row r="50">
      <c r="A50" s="104" t="s">
        <v>320</v>
      </c>
      <c r="B50" s="110"/>
      <c r="C50" s="108" t="s">
        <v>279</v>
      </c>
      <c r="D50" s="110"/>
      <c r="E50" s="126" t="s">
        <v>321</v>
      </c>
      <c r="F50" s="107" t="s">
        <v>277</v>
      </c>
      <c r="G50" s="90"/>
      <c r="H50" s="90"/>
      <c r="I50" s="90"/>
      <c r="J50" s="90"/>
      <c r="K50" s="90"/>
      <c r="L50" s="90"/>
      <c r="M50" s="90"/>
      <c r="N50" s="90"/>
      <c r="O50" s="90"/>
      <c r="P50" s="90"/>
      <c r="Q50" s="90"/>
      <c r="R50" s="90"/>
      <c r="S50" s="90"/>
      <c r="T50" s="90"/>
      <c r="U50" s="90"/>
    </row>
    <row r="51">
      <c r="A51" s="104" t="s">
        <v>322</v>
      </c>
      <c r="B51" s="123" t="s">
        <v>279</v>
      </c>
      <c r="C51" s="124"/>
      <c r="D51" s="124"/>
      <c r="E51" s="122"/>
      <c r="F51" s="127"/>
      <c r="G51" s="90"/>
      <c r="H51" s="90"/>
      <c r="I51" s="90"/>
      <c r="J51" s="90"/>
      <c r="K51" s="90"/>
      <c r="L51" s="90"/>
      <c r="M51" s="90"/>
      <c r="N51" s="90"/>
      <c r="O51" s="90"/>
      <c r="P51" s="90"/>
      <c r="Q51" s="90"/>
      <c r="R51" s="90"/>
      <c r="S51" s="90"/>
      <c r="T51" s="90"/>
      <c r="U51" s="90"/>
    </row>
    <row r="52">
      <c r="A52" s="104" t="s">
        <v>323</v>
      </c>
      <c r="B52" s="124"/>
      <c r="C52" s="123" t="s">
        <v>279</v>
      </c>
      <c r="D52" s="124"/>
      <c r="E52" s="126" t="s">
        <v>324</v>
      </c>
      <c r="F52" s="127"/>
      <c r="G52" s="90"/>
      <c r="H52" s="90"/>
      <c r="I52" s="90"/>
      <c r="J52" s="90"/>
      <c r="K52" s="90"/>
      <c r="L52" s="90"/>
      <c r="M52" s="90"/>
      <c r="N52" s="90"/>
      <c r="O52" s="90"/>
      <c r="P52" s="90"/>
      <c r="Q52" s="90"/>
      <c r="R52" s="90"/>
      <c r="S52" s="90"/>
      <c r="T52" s="90"/>
      <c r="U52" s="90"/>
    </row>
    <row r="53">
      <c r="A53" s="104" t="s">
        <v>325</v>
      </c>
      <c r="B53" s="108" t="s">
        <v>279</v>
      </c>
      <c r="C53" s="105"/>
      <c r="D53" s="105"/>
      <c r="E53" s="122"/>
      <c r="F53" s="112"/>
      <c r="G53" s="90"/>
      <c r="H53" s="90"/>
      <c r="I53" s="90"/>
      <c r="J53" s="90"/>
      <c r="K53" s="90"/>
      <c r="L53" s="90"/>
      <c r="M53" s="90"/>
      <c r="N53" s="90"/>
      <c r="O53" s="90"/>
      <c r="P53" s="90"/>
      <c r="Q53" s="90"/>
      <c r="R53" s="90"/>
      <c r="S53" s="90"/>
      <c r="T53" s="90"/>
      <c r="U53" s="90"/>
    </row>
    <row r="54">
      <c r="A54" s="104" t="s">
        <v>326</v>
      </c>
      <c r="B54" s="123" t="s">
        <v>279</v>
      </c>
      <c r="C54" s="124"/>
      <c r="D54" s="124"/>
      <c r="E54" s="122"/>
      <c r="F54" s="127"/>
      <c r="G54" s="90"/>
      <c r="H54" s="90"/>
      <c r="I54" s="90"/>
      <c r="J54" s="90"/>
      <c r="K54" s="90"/>
      <c r="L54" s="90"/>
      <c r="M54" s="90"/>
      <c r="N54" s="90"/>
      <c r="O54" s="90"/>
      <c r="P54" s="90"/>
      <c r="Q54" s="90"/>
      <c r="R54" s="90"/>
      <c r="S54" s="90"/>
      <c r="T54" s="90"/>
      <c r="U54" s="90"/>
    </row>
    <row r="55">
      <c r="A55" s="104" t="s">
        <v>327</v>
      </c>
      <c r="B55" s="123" t="s">
        <v>279</v>
      </c>
      <c r="C55" s="124"/>
      <c r="D55" s="124"/>
      <c r="E55" s="122"/>
      <c r="F55" s="127"/>
      <c r="G55" s="90"/>
      <c r="H55" s="90"/>
      <c r="I55" s="90"/>
      <c r="J55" s="90"/>
      <c r="K55" s="90"/>
      <c r="L55" s="90"/>
      <c r="M55" s="90"/>
      <c r="N55" s="90"/>
      <c r="O55" s="90"/>
      <c r="P55" s="90"/>
      <c r="Q55" s="90"/>
      <c r="R55" s="90"/>
      <c r="S55" s="90"/>
      <c r="T55" s="90"/>
      <c r="U55" s="90"/>
    </row>
    <row r="56">
      <c r="A56" s="104" t="s">
        <v>328</v>
      </c>
      <c r="B56" s="108" t="s">
        <v>279</v>
      </c>
      <c r="C56" s="105"/>
      <c r="D56" s="105"/>
      <c r="E56" s="122"/>
      <c r="F56" s="112"/>
      <c r="G56" s="90"/>
      <c r="H56" s="90"/>
      <c r="I56" s="90"/>
      <c r="J56" s="90"/>
      <c r="K56" s="90"/>
      <c r="L56" s="90"/>
      <c r="M56" s="90"/>
      <c r="N56" s="90"/>
      <c r="O56" s="90"/>
      <c r="P56" s="90"/>
      <c r="Q56" s="90"/>
      <c r="R56" s="90"/>
      <c r="S56" s="90"/>
      <c r="T56" s="90"/>
      <c r="U56" s="90"/>
    </row>
    <row r="57">
      <c r="A57" s="114" t="s">
        <v>329</v>
      </c>
      <c r="B57" s="101"/>
      <c r="C57" s="101"/>
      <c r="D57" s="101"/>
      <c r="E57" s="121"/>
      <c r="F57" s="116"/>
      <c r="G57" s="90"/>
      <c r="H57" s="90"/>
      <c r="I57" s="90"/>
      <c r="J57" s="90"/>
      <c r="K57" s="90"/>
      <c r="L57" s="90"/>
      <c r="M57" s="90"/>
      <c r="N57" s="90"/>
      <c r="O57" s="90"/>
      <c r="P57" s="90"/>
      <c r="Q57" s="90"/>
      <c r="R57" s="90"/>
      <c r="S57" s="90"/>
      <c r="T57" s="90"/>
      <c r="U57" s="90"/>
    </row>
    <row r="58">
      <c r="A58" s="104" t="s">
        <v>330</v>
      </c>
      <c r="B58" s="108" t="s">
        <v>279</v>
      </c>
      <c r="C58" s="105"/>
      <c r="D58" s="105"/>
      <c r="E58" s="120"/>
      <c r="F58" s="107" t="s">
        <v>277</v>
      </c>
      <c r="G58" s="90"/>
      <c r="H58" s="90"/>
      <c r="I58" s="90"/>
      <c r="J58" s="90"/>
      <c r="K58" s="90"/>
      <c r="L58" s="90"/>
      <c r="M58" s="90"/>
      <c r="N58" s="90"/>
      <c r="O58" s="90"/>
      <c r="P58" s="90"/>
      <c r="Q58" s="90"/>
      <c r="R58" s="90"/>
      <c r="S58" s="90"/>
      <c r="T58" s="90"/>
      <c r="U58" s="90"/>
    </row>
    <row r="59">
      <c r="A59" s="104" t="s">
        <v>331</v>
      </c>
      <c r="B59" s="108" t="s">
        <v>279</v>
      </c>
      <c r="C59" s="105"/>
      <c r="D59" s="105"/>
      <c r="E59" s="120"/>
      <c r="F59" s="107" t="s">
        <v>277</v>
      </c>
      <c r="G59" s="90"/>
      <c r="H59" s="90"/>
      <c r="I59" s="90"/>
      <c r="J59" s="90"/>
      <c r="K59" s="90"/>
      <c r="L59" s="90"/>
      <c r="M59" s="90"/>
      <c r="N59" s="90"/>
      <c r="O59" s="90"/>
      <c r="P59" s="90"/>
      <c r="Q59" s="90"/>
      <c r="R59" s="90"/>
      <c r="S59" s="90"/>
      <c r="T59" s="90"/>
      <c r="U59" s="90"/>
    </row>
    <row r="60">
      <c r="A60" s="104" t="s">
        <v>332</v>
      </c>
      <c r="B60" s="105"/>
      <c r="C60" s="108" t="s">
        <v>279</v>
      </c>
      <c r="D60" s="105"/>
      <c r="E60" s="119" t="s">
        <v>333</v>
      </c>
      <c r="F60" s="112"/>
      <c r="G60" s="90"/>
      <c r="H60" s="90"/>
      <c r="I60" s="90"/>
      <c r="J60" s="90"/>
      <c r="K60" s="90"/>
      <c r="L60" s="90"/>
      <c r="M60" s="90"/>
      <c r="N60" s="90"/>
      <c r="O60" s="90"/>
      <c r="P60" s="90"/>
      <c r="Q60" s="90"/>
      <c r="R60" s="90"/>
      <c r="S60" s="90"/>
      <c r="T60" s="90"/>
      <c r="U60" s="90"/>
    </row>
    <row r="61">
      <c r="A61" s="104" t="s">
        <v>334</v>
      </c>
      <c r="B61" s="108" t="s">
        <v>279</v>
      </c>
      <c r="C61" s="105"/>
      <c r="D61" s="105"/>
      <c r="E61" s="120"/>
      <c r="F61" s="107" t="s">
        <v>277</v>
      </c>
      <c r="G61" s="90"/>
      <c r="H61" s="90"/>
      <c r="I61" s="90"/>
      <c r="J61" s="90"/>
      <c r="K61" s="90"/>
      <c r="L61" s="90"/>
      <c r="M61" s="90"/>
      <c r="N61" s="90"/>
      <c r="O61" s="90"/>
      <c r="P61" s="90"/>
      <c r="Q61" s="90"/>
      <c r="R61" s="90"/>
      <c r="S61" s="90"/>
      <c r="T61" s="90"/>
      <c r="U61" s="90"/>
    </row>
    <row r="62">
      <c r="A62" s="104" t="s">
        <v>335</v>
      </c>
      <c r="B62" s="108" t="s">
        <v>279</v>
      </c>
      <c r="C62" s="105"/>
      <c r="D62" s="105"/>
      <c r="E62" s="120"/>
      <c r="F62" s="112"/>
      <c r="G62" s="90"/>
      <c r="H62" s="90"/>
      <c r="I62" s="90"/>
      <c r="J62" s="90"/>
      <c r="K62" s="90"/>
      <c r="L62" s="90"/>
      <c r="M62" s="90"/>
      <c r="N62" s="90"/>
      <c r="O62" s="90"/>
      <c r="P62" s="90"/>
      <c r="Q62" s="90"/>
      <c r="R62" s="90"/>
      <c r="S62" s="90"/>
      <c r="T62" s="90"/>
      <c r="U62" s="90"/>
    </row>
    <row r="63">
      <c r="A63" s="104" t="s">
        <v>336</v>
      </c>
      <c r="B63" s="108" t="s">
        <v>279</v>
      </c>
      <c r="C63" s="105"/>
      <c r="D63" s="105"/>
      <c r="E63" s="120"/>
      <c r="F63" s="128"/>
      <c r="G63" s="90"/>
      <c r="H63" s="90"/>
      <c r="I63" s="90"/>
      <c r="J63" s="90"/>
      <c r="K63" s="90"/>
      <c r="L63" s="90"/>
      <c r="M63" s="90"/>
      <c r="N63" s="90"/>
      <c r="O63" s="90"/>
      <c r="P63" s="90"/>
      <c r="Q63" s="90"/>
      <c r="R63" s="90"/>
      <c r="S63" s="90"/>
      <c r="T63" s="90"/>
      <c r="U63" s="90"/>
    </row>
    <row r="64">
      <c r="A64" s="114" t="s">
        <v>337</v>
      </c>
      <c r="B64" s="129"/>
      <c r="C64" s="129"/>
      <c r="D64" s="129"/>
      <c r="E64" s="121"/>
      <c r="F64" s="130"/>
      <c r="G64" s="90"/>
      <c r="H64" s="90"/>
      <c r="I64" s="90"/>
      <c r="J64" s="90"/>
      <c r="K64" s="90"/>
      <c r="L64" s="90"/>
      <c r="M64" s="90"/>
      <c r="N64" s="90"/>
      <c r="O64" s="90"/>
      <c r="P64" s="90"/>
      <c r="Q64" s="90"/>
      <c r="R64" s="90"/>
      <c r="S64" s="90"/>
      <c r="T64" s="90"/>
      <c r="U64" s="90"/>
    </row>
    <row r="65">
      <c r="A65" s="104" t="s">
        <v>338</v>
      </c>
      <c r="B65" s="108" t="s">
        <v>279</v>
      </c>
      <c r="C65" s="105"/>
      <c r="D65" s="105"/>
      <c r="E65" s="122"/>
      <c r="F65" s="107" t="s">
        <v>277</v>
      </c>
      <c r="G65" s="90"/>
      <c r="H65" s="90"/>
      <c r="I65" s="90"/>
      <c r="J65" s="90"/>
      <c r="K65" s="90"/>
      <c r="L65" s="90"/>
      <c r="M65" s="90"/>
      <c r="N65" s="90"/>
      <c r="O65" s="90"/>
      <c r="P65" s="90"/>
      <c r="Q65" s="90"/>
      <c r="R65" s="90"/>
      <c r="S65" s="90"/>
      <c r="T65" s="90"/>
      <c r="U65" s="90"/>
    </row>
    <row r="66">
      <c r="A66" s="104" t="s">
        <v>339</v>
      </c>
      <c r="B66" s="108" t="s">
        <v>279</v>
      </c>
      <c r="C66" s="105"/>
      <c r="D66" s="105"/>
      <c r="E66" s="122"/>
      <c r="F66" s="112"/>
      <c r="G66" s="90"/>
      <c r="H66" s="90"/>
      <c r="I66" s="90"/>
      <c r="J66" s="90"/>
      <c r="K66" s="90"/>
      <c r="L66" s="90"/>
      <c r="M66" s="90"/>
      <c r="N66" s="90"/>
      <c r="O66" s="90"/>
      <c r="P66" s="90"/>
      <c r="Q66" s="90"/>
      <c r="R66" s="90"/>
      <c r="S66" s="90"/>
      <c r="T66" s="90"/>
      <c r="U66" s="90"/>
    </row>
    <row r="67">
      <c r="A67" s="104" t="s">
        <v>340</v>
      </c>
      <c r="B67" s="105"/>
      <c r="C67" s="108" t="s">
        <v>279</v>
      </c>
      <c r="D67" s="105"/>
      <c r="E67" s="126" t="s">
        <v>341</v>
      </c>
      <c r="F67" s="112"/>
      <c r="G67" s="90"/>
      <c r="H67" s="90"/>
      <c r="I67" s="90"/>
      <c r="J67" s="90"/>
      <c r="K67" s="90"/>
      <c r="L67" s="90"/>
      <c r="M67" s="90"/>
      <c r="N67" s="90"/>
      <c r="O67" s="90"/>
      <c r="P67" s="90"/>
      <c r="Q67" s="90"/>
      <c r="R67" s="90"/>
      <c r="S67" s="90"/>
      <c r="T67" s="90"/>
      <c r="U67" s="90"/>
      <c r="V67" s="90"/>
      <c r="W67" s="90"/>
      <c r="X67" s="90"/>
      <c r="Y67" s="90"/>
      <c r="Z67" s="90"/>
    </row>
    <row r="68">
      <c r="A68" s="104" t="s">
        <v>342</v>
      </c>
      <c r="B68" s="108" t="s">
        <v>279</v>
      </c>
      <c r="C68" s="105"/>
      <c r="D68" s="105"/>
      <c r="E68" s="122"/>
      <c r="F68" s="112"/>
      <c r="G68" s="90"/>
      <c r="H68" s="90"/>
      <c r="I68" s="90"/>
      <c r="J68" s="90"/>
      <c r="K68" s="90"/>
      <c r="L68" s="90"/>
      <c r="M68" s="90"/>
      <c r="N68" s="90"/>
      <c r="O68" s="90"/>
      <c r="P68" s="90"/>
      <c r="Q68" s="90"/>
      <c r="R68" s="90"/>
      <c r="S68" s="90"/>
      <c r="T68" s="90"/>
      <c r="U68" s="90"/>
      <c r="V68" s="90"/>
      <c r="W68" s="90"/>
      <c r="X68" s="90"/>
      <c r="Y68" s="90"/>
      <c r="Z68" s="90"/>
    </row>
    <row r="69">
      <c r="A69" s="104" t="s">
        <v>343</v>
      </c>
      <c r="B69" s="108" t="s">
        <v>279</v>
      </c>
      <c r="C69" s="105"/>
      <c r="D69" s="105"/>
      <c r="E69" s="122"/>
      <c r="F69" s="112"/>
      <c r="G69" s="90"/>
      <c r="H69" s="90"/>
      <c r="I69" s="90"/>
      <c r="J69" s="90"/>
      <c r="K69" s="90"/>
      <c r="L69" s="90"/>
      <c r="M69" s="90"/>
      <c r="N69" s="90"/>
      <c r="O69" s="90"/>
      <c r="P69" s="90"/>
      <c r="Q69" s="90"/>
      <c r="R69" s="90"/>
      <c r="S69" s="90"/>
      <c r="T69" s="90"/>
      <c r="U69" s="90"/>
      <c r="V69" s="90"/>
      <c r="W69" s="90"/>
      <c r="X69" s="90"/>
      <c r="Y69" s="90"/>
      <c r="Z69" s="90"/>
    </row>
    <row r="70">
      <c r="A70" s="104" t="s">
        <v>344</v>
      </c>
      <c r="B70" s="108" t="s">
        <v>279</v>
      </c>
      <c r="C70" s="105"/>
      <c r="D70" s="105"/>
      <c r="E70" s="122"/>
      <c r="F70" s="112"/>
      <c r="G70" s="90"/>
      <c r="H70" s="90"/>
      <c r="I70" s="90"/>
      <c r="J70" s="90"/>
      <c r="K70" s="90"/>
      <c r="L70" s="90"/>
      <c r="M70" s="90"/>
      <c r="N70" s="90"/>
      <c r="O70" s="90"/>
      <c r="P70" s="90"/>
      <c r="Q70" s="90"/>
      <c r="R70" s="90"/>
      <c r="S70" s="90"/>
      <c r="T70" s="90"/>
      <c r="U70" s="90"/>
      <c r="V70" s="90"/>
      <c r="W70" s="90"/>
      <c r="X70" s="90"/>
      <c r="Y70" s="90"/>
      <c r="Z70" s="90"/>
    </row>
    <row r="71">
      <c r="A71" s="131" t="s">
        <v>345</v>
      </c>
      <c r="B71" s="108" t="s">
        <v>279</v>
      </c>
      <c r="C71" s="105"/>
      <c r="D71" s="105"/>
      <c r="E71" s="122"/>
      <c r="F71" s="107" t="s">
        <v>277</v>
      </c>
      <c r="G71" s="90"/>
      <c r="H71" s="90"/>
      <c r="I71" s="90"/>
      <c r="J71" s="90"/>
      <c r="K71" s="90"/>
      <c r="L71" s="90"/>
      <c r="M71" s="90"/>
      <c r="N71" s="90"/>
      <c r="O71" s="90"/>
      <c r="P71" s="90"/>
      <c r="Q71" s="90"/>
      <c r="R71" s="90"/>
      <c r="S71" s="90"/>
      <c r="T71" s="90"/>
      <c r="U71" s="90"/>
      <c r="V71" s="90"/>
      <c r="W71" s="90"/>
      <c r="X71" s="90"/>
      <c r="Y71" s="90"/>
      <c r="Z71" s="90"/>
    </row>
    <row r="72">
      <c r="A72" s="104" t="s">
        <v>346</v>
      </c>
      <c r="B72" s="108" t="s">
        <v>279</v>
      </c>
      <c r="C72" s="105"/>
      <c r="D72" s="105"/>
      <c r="E72" s="122"/>
      <c r="F72" s="112"/>
      <c r="G72" s="90"/>
      <c r="H72" s="90"/>
      <c r="I72" s="90"/>
      <c r="J72" s="90"/>
      <c r="K72" s="90"/>
      <c r="L72" s="90"/>
      <c r="M72" s="90"/>
      <c r="N72" s="90"/>
      <c r="O72" s="90"/>
      <c r="P72" s="90"/>
      <c r="Q72" s="90"/>
      <c r="R72" s="90"/>
      <c r="S72" s="90"/>
      <c r="T72" s="90"/>
      <c r="U72" s="90"/>
      <c r="V72" s="90"/>
      <c r="W72" s="90"/>
      <c r="X72" s="90"/>
      <c r="Y72" s="90"/>
      <c r="Z72" s="90"/>
    </row>
    <row r="73">
      <c r="A73" s="104" t="s">
        <v>347</v>
      </c>
      <c r="B73" s="108" t="s">
        <v>279</v>
      </c>
      <c r="C73" s="105"/>
      <c r="D73" s="105"/>
      <c r="E73" s="122"/>
      <c r="F73" s="107" t="s">
        <v>277</v>
      </c>
      <c r="G73" s="90"/>
      <c r="H73" s="90"/>
      <c r="I73" s="90"/>
      <c r="J73" s="90"/>
      <c r="K73" s="90"/>
      <c r="L73" s="90"/>
      <c r="M73" s="90"/>
      <c r="N73" s="90"/>
      <c r="O73" s="90"/>
      <c r="P73" s="90"/>
      <c r="Q73" s="90"/>
      <c r="R73" s="90"/>
      <c r="S73" s="90"/>
      <c r="T73" s="90"/>
      <c r="U73" s="90"/>
      <c r="V73" s="90"/>
      <c r="W73" s="90"/>
      <c r="X73" s="90"/>
      <c r="Y73" s="90"/>
      <c r="Z73" s="90"/>
    </row>
    <row r="74">
      <c r="A74" s="104" t="s">
        <v>348</v>
      </c>
      <c r="B74" s="108" t="s">
        <v>279</v>
      </c>
      <c r="C74" s="105"/>
      <c r="D74" s="105"/>
      <c r="E74" s="122"/>
      <c r="F74" s="112"/>
      <c r="G74" s="90"/>
      <c r="H74" s="90"/>
      <c r="I74" s="90"/>
      <c r="J74" s="90"/>
      <c r="K74" s="90"/>
      <c r="L74" s="90"/>
      <c r="M74" s="90"/>
      <c r="N74" s="90"/>
      <c r="O74" s="90"/>
      <c r="P74" s="90"/>
      <c r="Q74" s="90"/>
      <c r="R74" s="90"/>
      <c r="S74" s="90"/>
      <c r="T74" s="90"/>
      <c r="U74" s="90"/>
      <c r="V74" s="90"/>
      <c r="W74" s="90"/>
      <c r="X74" s="90"/>
      <c r="Y74" s="90"/>
      <c r="Z74" s="90"/>
    </row>
    <row r="75">
      <c r="A75" s="131" t="s">
        <v>349</v>
      </c>
      <c r="B75" s="108" t="s">
        <v>279</v>
      </c>
      <c r="C75" s="105"/>
      <c r="D75" s="105"/>
      <c r="E75" s="122"/>
      <c r="F75" s="107" t="s">
        <v>277</v>
      </c>
      <c r="G75" s="90"/>
      <c r="H75" s="90"/>
      <c r="I75" s="90"/>
      <c r="J75" s="90"/>
      <c r="K75" s="90"/>
      <c r="L75" s="90"/>
      <c r="M75" s="90"/>
      <c r="N75" s="90"/>
      <c r="O75" s="90"/>
      <c r="P75" s="90"/>
      <c r="Q75" s="90"/>
      <c r="R75" s="90"/>
      <c r="S75" s="90"/>
      <c r="T75" s="90"/>
      <c r="U75" s="90"/>
      <c r="V75" s="90"/>
      <c r="W75" s="90"/>
      <c r="X75" s="90"/>
      <c r="Y75" s="90"/>
      <c r="Z75" s="90"/>
    </row>
    <row r="76">
      <c r="A76" s="131" t="s">
        <v>350</v>
      </c>
      <c r="B76" s="105"/>
      <c r="C76" s="108" t="s">
        <v>279</v>
      </c>
      <c r="D76" s="105"/>
      <c r="E76" s="122"/>
      <c r="F76" s="112"/>
      <c r="G76" s="90"/>
      <c r="H76" s="90"/>
      <c r="I76" s="90"/>
      <c r="J76" s="90"/>
      <c r="K76" s="90"/>
      <c r="L76" s="90"/>
      <c r="M76" s="90"/>
      <c r="N76" s="90"/>
      <c r="O76" s="90"/>
      <c r="P76" s="90"/>
      <c r="Q76" s="90"/>
      <c r="R76" s="90"/>
      <c r="S76" s="90"/>
      <c r="T76" s="90"/>
      <c r="U76" s="90"/>
      <c r="V76" s="90"/>
      <c r="W76" s="90"/>
      <c r="X76" s="90"/>
      <c r="Y76" s="90"/>
      <c r="Z76" s="90"/>
    </row>
    <row r="77">
      <c r="A77" s="131" t="s">
        <v>351</v>
      </c>
      <c r="B77" s="108" t="s">
        <v>279</v>
      </c>
      <c r="C77" s="105"/>
      <c r="D77" s="105"/>
      <c r="E77" s="122"/>
      <c r="F77" s="112"/>
      <c r="G77" s="90"/>
      <c r="H77" s="90"/>
      <c r="I77" s="90"/>
      <c r="J77" s="90"/>
      <c r="K77" s="90"/>
      <c r="L77" s="90"/>
      <c r="M77" s="90"/>
      <c r="N77" s="90"/>
      <c r="O77" s="90"/>
      <c r="P77" s="90"/>
      <c r="Q77" s="90"/>
      <c r="R77" s="90"/>
      <c r="S77" s="90"/>
      <c r="T77" s="90"/>
      <c r="U77" s="90"/>
      <c r="V77" s="90"/>
      <c r="W77" s="90"/>
      <c r="X77" s="90"/>
      <c r="Y77" s="90"/>
      <c r="Z77" s="90"/>
    </row>
    <row r="78">
      <c r="A78" s="132" t="s">
        <v>352</v>
      </c>
      <c r="B78" s="108" t="s">
        <v>279</v>
      </c>
      <c r="C78" s="105"/>
      <c r="D78" s="105"/>
      <c r="E78" s="122"/>
      <c r="F78" s="107" t="s">
        <v>277</v>
      </c>
      <c r="G78" s="90"/>
      <c r="H78" s="90"/>
      <c r="I78" s="90"/>
      <c r="J78" s="90"/>
      <c r="K78" s="90"/>
      <c r="L78" s="90"/>
      <c r="M78" s="90"/>
      <c r="N78" s="90"/>
      <c r="O78" s="90"/>
      <c r="P78" s="90"/>
      <c r="Q78" s="90"/>
      <c r="R78" s="90"/>
      <c r="S78" s="90"/>
      <c r="T78" s="90"/>
      <c r="U78" s="90"/>
      <c r="V78" s="90"/>
      <c r="W78" s="90"/>
      <c r="X78" s="90"/>
      <c r="Y78" s="90"/>
      <c r="Z78" s="90"/>
    </row>
    <row r="79">
      <c r="A79" s="132" t="s">
        <v>353</v>
      </c>
      <c r="B79" s="108" t="s">
        <v>279</v>
      </c>
      <c r="C79" s="105"/>
      <c r="D79" s="105"/>
      <c r="E79" s="122"/>
      <c r="F79" s="107" t="s">
        <v>277</v>
      </c>
      <c r="G79" s="90"/>
      <c r="H79" s="90"/>
      <c r="I79" s="90"/>
      <c r="J79" s="90"/>
      <c r="K79" s="90"/>
      <c r="L79" s="90"/>
      <c r="M79" s="90"/>
      <c r="N79" s="90"/>
      <c r="O79" s="90"/>
      <c r="P79" s="90"/>
      <c r="Q79" s="90"/>
      <c r="R79" s="90"/>
      <c r="S79" s="90"/>
      <c r="T79" s="90"/>
      <c r="U79" s="90"/>
      <c r="V79" s="90"/>
      <c r="W79" s="90"/>
      <c r="X79" s="90"/>
      <c r="Y79" s="90"/>
      <c r="Z79" s="90"/>
    </row>
    <row r="80">
      <c r="A80" s="131" t="s">
        <v>354</v>
      </c>
      <c r="B80" s="105"/>
      <c r="C80" s="108" t="s">
        <v>279</v>
      </c>
      <c r="D80" s="105"/>
      <c r="E80" s="122"/>
      <c r="F80" s="112"/>
      <c r="G80" s="90"/>
      <c r="H80" s="90"/>
      <c r="I80" s="90"/>
      <c r="J80" s="90"/>
      <c r="K80" s="90"/>
      <c r="L80" s="90"/>
      <c r="M80" s="90"/>
      <c r="N80" s="90"/>
      <c r="O80" s="90"/>
      <c r="P80" s="90"/>
      <c r="Q80" s="90"/>
      <c r="R80" s="90"/>
      <c r="S80" s="90"/>
      <c r="T80" s="90"/>
      <c r="U80" s="90"/>
      <c r="V80" s="90"/>
      <c r="W80" s="90"/>
      <c r="X80" s="90"/>
      <c r="Y80" s="90"/>
      <c r="Z80" s="90"/>
    </row>
    <row r="81">
      <c r="A81" s="104" t="s">
        <v>355</v>
      </c>
      <c r="B81" s="108" t="s">
        <v>279</v>
      </c>
      <c r="C81" s="105"/>
      <c r="D81" s="105"/>
      <c r="E81" s="122"/>
      <c r="F81" s="112"/>
      <c r="G81" s="90"/>
      <c r="H81" s="90"/>
      <c r="I81" s="90"/>
      <c r="J81" s="90"/>
      <c r="K81" s="90"/>
      <c r="L81" s="90"/>
      <c r="M81" s="90"/>
      <c r="N81" s="90"/>
      <c r="O81" s="90"/>
      <c r="P81" s="90"/>
      <c r="Q81" s="90"/>
      <c r="R81" s="90"/>
      <c r="S81" s="90"/>
      <c r="T81" s="90"/>
      <c r="U81" s="90"/>
      <c r="V81" s="90"/>
      <c r="W81" s="90"/>
      <c r="X81" s="90"/>
      <c r="Y81" s="90"/>
      <c r="Z81" s="90"/>
    </row>
    <row r="82">
      <c r="A82" s="104" t="s">
        <v>356</v>
      </c>
      <c r="B82" s="105"/>
      <c r="C82" s="108" t="s">
        <v>279</v>
      </c>
      <c r="D82" s="105"/>
      <c r="E82" s="109" t="s">
        <v>357</v>
      </c>
      <c r="F82" s="112"/>
      <c r="G82" s="90"/>
      <c r="H82" s="90"/>
      <c r="I82" s="90"/>
      <c r="J82" s="90"/>
      <c r="K82" s="90"/>
      <c r="L82" s="90"/>
      <c r="M82" s="90"/>
      <c r="N82" s="90"/>
      <c r="O82" s="90"/>
      <c r="P82" s="90"/>
      <c r="Q82" s="90"/>
      <c r="R82" s="90"/>
      <c r="S82" s="90"/>
      <c r="T82" s="90"/>
      <c r="U82" s="90"/>
      <c r="V82" s="90"/>
      <c r="W82" s="90"/>
      <c r="X82" s="90"/>
      <c r="Y82" s="90"/>
      <c r="Z82" s="90"/>
    </row>
    <row r="83">
      <c r="A83" s="104" t="s">
        <v>358</v>
      </c>
      <c r="B83" s="105"/>
      <c r="C83" s="108" t="s">
        <v>279</v>
      </c>
      <c r="D83" s="105"/>
      <c r="F83" s="107" t="s">
        <v>277</v>
      </c>
      <c r="G83" s="90"/>
      <c r="H83" s="90"/>
      <c r="I83" s="90"/>
      <c r="J83" s="90"/>
      <c r="K83" s="90"/>
      <c r="L83" s="90"/>
      <c r="M83" s="90"/>
      <c r="N83" s="90"/>
      <c r="O83" s="90"/>
      <c r="P83" s="90"/>
      <c r="Q83" s="90"/>
      <c r="R83" s="90"/>
      <c r="S83" s="90"/>
      <c r="T83" s="90"/>
      <c r="U83" s="90"/>
      <c r="V83" s="90"/>
      <c r="W83" s="90"/>
      <c r="X83" s="90"/>
      <c r="Y83" s="90"/>
      <c r="Z83" s="90"/>
    </row>
    <row r="84">
      <c r="A84" s="104" t="s">
        <v>359</v>
      </c>
      <c r="B84" s="105"/>
      <c r="C84" s="108" t="s">
        <v>279</v>
      </c>
      <c r="D84" s="105"/>
      <c r="E84" s="109" t="s">
        <v>357</v>
      </c>
      <c r="F84" s="112"/>
      <c r="G84" s="90"/>
      <c r="H84" s="90"/>
      <c r="I84" s="90"/>
      <c r="J84" s="90"/>
      <c r="K84" s="90"/>
      <c r="L84" s="90"/>
      <c r="M84" s="90"/>
      <c r="N84" s="90"/>
      <c r="O84" s="90"/>
      <c r="P84" s="90"/>
      <c r="Q84" s="90"/>
      <c r="R84" s="90"/>
      <c r="S84" s="90"/>
      <c r="T84" s="90"/>
      <c r="U84" s="90"/>
      <c r="V84" s="90"/>
      <c r="W84" s="90"/>
      <c r="X84" s="90"/>
      <c r="Y84" s="90"/>
      <c r="Z84" s="90"/>
    </row>
    <row r="85">
      <c r="A85" s="104" t="s">
        <v>358</v>
      </c>
      <c r="B85" s="105"/>
      <c r="C85" s="108" t="s">
        <v>279</v>
      </c>
      <c r="D85" s="105"/>
      <c r="F85" s="107" t="s">
        <v>277</v>
      </c>
      <c r="G85" s="90"/>
      <c r="H85" s="90"/>
      <c r="I85" s="90"/>
      <c r="J85" s="90"/>
      <c r="K85" s="90"/>
      <c r="L85" s="90"/>
      <c r="M85" s="90"/>
      <c r="N85" s="90"/>
      <c r="O85" s="90"/>
      <c r="P85" s="90"/>
      <c r="Q85" s="90"/>
      <c r="R85" s="90"/>
      <c r="S85" s="90"/>
      <c r="T85" s="90"/>
      <c r="U85" s="90"/>
      <c r="V85" s="90"/>
      <c r="W85" s="90"/>
      <c r="X85" s="90"/>
      <c r="Y85" s="90"/>
      <c r="Z85" s="90"/>
    </row>
    <row r="86">
      <c r="A86" s="104" t="s">
        <v>360</v>
      </c>
      <c r="B86" s="108" t="s">
        <v>279</v>
      </c>
      <c r="C86" s="105"/>
      <c r="D86" s="105"/>
      <c r="E86" s="122"/>
      <c r="F86" s="112"/>
      <c r="G86" s="90"/>
      <c r="H86" s="90"/>
      <c r="I86" s="90"/>
      <c r="J86" s="90"/>
      <c r="K86" s="90"/>
      <c r="L86" s="90"/>
      <c r="M86" s="90"/>
      <c r="N86" s="90"/>
      <c r="O86" s="90"/>
      <c r="P86" s="90"/>
      <c r="Q86" s="90"/>
      <c r="R86" s="90"/>
      <c r="S86" s="90"/>
      <c r="T86" s="90"/>
      <c r="U86" s="90"/>
      <c r="V86" s="90"/>
      <c r="W86" s="90"/>
      <c r="X86" s="90"/>
      <c r="Y86" s="90"/>
      <c r="Z86" s="90"/>
    </row>
    <row r="87">
      <c r="A87" s="104" t="s">
        <v>358</v>
      </c>
      <c r="B87" s="108" t="s">
        <v>279</v>
      </c>
      <c r="C87" s="105"/>
      <c r="D87" s="105"/>
      <c r="E87" s="122"/>
      <c r="F87" s="107" t="s">
        <v>277</v>
      </c>
      <c r="G87" s="90"/>
      <c r="H87" s="90"/>
      <c r="I87" s="90"/>
      <c r="J87" s="90"/>
      <c r="K87" s="90"/>
      <c r="L87" s="90"/>
      <c r="M87" s="90"/>
      <c r="N87" s="90"/>
      <c r="O87" s="90"/>
      <c r="P87" s="90"/>
      <c r="Q87" s="90"/>
      <c r="R87" s="90"/>
      <c r="S87" s="90"/>
      <c r="T87" s="90"/>
      <c r="U87" s="90"/>
      <c r="V87" s="90"/>
      <c r="W87" s="90"/>
      <c r="X87" s="90"/>
      <c r="Y87" s="90"/>
      <c r="Z87" s="90"/>
    </row>
    <row r="88">
      <c r="A88" s="133"/>
      <c r="B88" s="105"/>
      <c r="C88" s="105"/>
      <c r="D88" s="105"/>
      <c r="E88" s="122"/>
      <c r="F88" s="112"/>
      <c r="G88" s="90"/>
      <c r="H88" s="90"/>
      <c r="I88" s="90"/>
      <c r="J88" s="90"/>
      <c r="K88" s="90"/>
      <c r="L88" s="90"/>
      <c r="M88" s="90"/>
      <c r="N88" s="90"/>
      <c r="O88" s="90"/>
      <c r="P88" s="90"/>
      <c r="Q88" s="90"/>
      <c r="R88" s="90"/>
      <c r="S88" s="90"/>
      <c r="T88" s="90"/>
      <c r="U88" s="90"/>
      <c r="V88" s="90"/>
      <c r="W88" s="90"/>
      <c r="X88" s="90"/>
      <c r="Y88" s="90"/>
      <c r="Z88" s="90"/>
    </row>
    <row r="89">
      <c r="A89" s="134" t="s">
        <v>361</v>
      </c>
      <c r="B89" s="135"/>
      <c r="C89" s="135"/>
      <c r="D89" s="135"/>
      <c r="E89" s="136"/>
      <c r="F89" s="137"/>
      <c r="G89" s="90"/>
      <c r="H89" s="90"/>
      <c r="I89" s="90"/>
      <c r="J89" s="90"/>
      <c r="K89" s="90"/>
      <c r="L89" s="90"/>
      <c r="M89" s="90"/>
      <c r="N89" s="90"/>
      <c r="O89" s="90"/>
      <c r="P89" s="90"/>
      <c r="Q89" s="90"/>
      <c r="R89" s="90"/>
      <c r="S89" s="90"/>
      <c r="T89" s="90"/>
      <c r="U89" s="90"/>
      <c r="V89" s="90"/>
      <c r="W89" s="90"/>
      <c r="X89" s="90"/>
      <c r="Y89" s="90"/>
      <c r="Z89" s="90"/>
    </row>
    <row r="90">
      <c r="A90" s="90"/>
      <c r="B90" s="138">
        <v>55.0</v>
      </c>
      <c r="C90" s="138">
        <v>11.0</v>
      </c>
      <c r="D90" s="138">
        <v>1.0</v>
      </c>
      <c r="E90" s="117"/>
      <c r="F90" s="105"/>
      <c r="G90" s="90"/>
      <c r="H90" s="90"/>
      <c r="I90" s="90"/>
      <c r="J90" s="90"/>
      <c r="K90" s="90"/>
      <c r="L90" s="90"/>
      <c r="M90" s="90"/>
      <c r="N90" s="90"/>
      <c r="O90" s="90"/>
      <c r="P90" s="90"/>
      <c r="Q90" s="90"/>
      <c r="R90" s="90"/>
      <c r="S90" s="90"/>
      <c r="T90" s="90"/>
      <c r="U90" s="90"/>
      <c r="V90" s="90"/>
      <c r="W90" s="90"/>
      <c r="X90" s="90"/>
      <c r="Y90" s="90"/>
      <c r="Z90" s="90"/>
    </row>
    <row r="91">
      <c r="A91" s="139" t="s">
        <v>362</v>
      </c>
      <c r="B91" s="140"/>
      <c r="C91" s="140"/>
      <c r="D91" s="140"/>
      <c r="E91" s="140"/>
      <c r="F91" s="141"/>
      <c r="G91" s="90"/>
      <c r="H91" s="90"/>
      <c r="I91" s="90"/>
      <c r="J91" s="90"/>
      <c r="K91" s="90"/>
      <c r="L91" s="90"/>
      <c r="M91" s="90"/>
      <c r="N91" s="90"/>
      <c r="O91" s="90"/>
      <c r="P91" s="90"/>
      <c r="Q91" s="90"/>
      <c r="R91" s="90"/>
      <c r="S91" s="90"/>
      <c r="T91" s="90"/>
      <c r="U91" s="90"/>
      <c r="V91" s="90"/>
      <c r="W91" s="90"/>
      <c r="X91" s="90"/>
      <c r="Y91" s="90"/>
      <c r="Z91" s="90"/>
    </row>
    <row r="92">
      <c r="A92" s="142" t="s">
        <v>363</v>
      </c>
      <c r="B92" s="143"/>
      <c r="C92" s="143"/>
      <c r="D92" s="143"/>
      <c r="E92" s="143"/>
      <c r="F92" s="144"/>
      <c r="G92" s="90"/>
      <c r="H92" s="90"/>
      <c r="I92" s="90"/>
      <c r="J92" s="90"/>
      <c r="K92" s="90"/>
      <c r="L92" s="90"/>
      <c r="M92" s="90"/>
      <c r="N92" s="90"/>
      <c r="O92" s="90"/>
      <c r="P92" s="90"/>
      <c r="Q92" s="90"/>
      <c r="R92" s="90"/>
      <c r="S92" s="90"/>
      <c r="T92" s="90"/>
      <c r="U92" s="90"/>
      <c r="V92" s="90"/>
      <c r="W92" s="90"/>
      <c r="X92" s="90"/>
      <c r="Y92" s="90"/>
      <c r="Z92" s="90"/>
    </row>
    <row r="93">
      <c r="A93" s="145"/>
      <c r="F93" s="146"/>
      <c r="G93" s="90"/>
      <c r="H93" s="90"/>
      <c r="I93" s="90"/>
      <c r="J93" s="90"/>
      <c r="K93" s="90"/>
      <c r="L93" s="90"/>
      <c r="M93" s="90"/>
      <c r="N93" s="90"/>
      <c r="O93" s="90"/>
      <c r="P93" s="90"/>
      <c r="Q93" s="90"/>
      <c r="R93" s="90"/>
      <c r="S93" s="90"/>
      <c r="T93" s="90"/>
      <c r="U93" s="90"/>
      <c r="V93" s="90"/>
      <c r="W93" s="90"/>
      <c r="X93" s="90"/>
      <c r="Y93" s="90"/>
      <c r="Z93" s="90"/>
    </row>
    <row r="94">
      <c r="A94" s="147"/>
      <c r="B94" s="148"/>
      <c r="C94" s="148"/>
      <c r="D94" s="148"/>
      <c r="E94" s="148"/>
      <c r="F94" s="149"/>
      <c r="G94" s="90"/>
      <c r="H94" s="90"/>
      <c r="I94" s="90"/>
      <c r="J94" s="90"/>
      <c r="K94" s="90"/>
      <c r="L94" s="90"/>
      <c r="M94" s="90"/>
      <c r="N94" s="90"/>
      <c r="O94" s="90"/>
      <c r="P94" s="90"/>
      <c r="Q94" s="90"/>
      <c r="R94" s="90"/>
      <c r="S94" s="90"/>
      <c r="T94" s="90"/>
      <c r="U94" s="90"/>
      <c r="V94" s="90"/>
      <c r="W94" s="90"/>
      <c r="X94" s="90"/>
      <c r="Y94" s="90"/>
      <c r="Z94" s="90"/>
    </row>
    <row r="95">
      <c r="A95" s="139" t="s">
        <v>364</v>
      </c>
      <c r="B95" s="140"/>
      <c r="C95" s="140"/>
      <c r="D95" s="140"/>
      <c r="E95" s="140"/>
      <c r="F95" s="141"/>
      <c r="G95" s="90"/>
      <c r="H95" s="90"/>
      <c r="I95" s="90"/>
      <c r="J95" s="90"/>
      <c r="K95" s="90"/>
      <c r="L95" s="90"/>
      <c r="M95" s="90"/>
      <c r="N95" s="90"/>
      <c r="O95" s="90"/>
      <c r="P95" s="90"/>
      <c r="Q95" s="90"/>
      <c r="R95" s="90"/>
      <c r="S95" s="90"/>
      <c r="T95" s="90"/>
      <c r="U95" s="90"/>
      <c r="V95" s="90"/>
      <c r="W95" s="90"/>
      <c r="X95" s="90"/>
      <c r="Y95" s="90"/>
      <c r="Z95" s="90"/>
    </row>
    <row r="96">
      <c r="A96" s="142" t="s">
        <v>365</v>
      </c>
      <c r="B96" s="143"/>
      <c r="C96" s="143"/>
      <c r="D96" s="143"/>
      <c r="E96" s="143"/>
      <c r="F96" s="144"/>
      <c r="G96" s="90"/>
      <c r="H96" s="90"/>
      <c r="I96" s="90"/>
      <c r="J96" s="90"/>
      <c r="K96" s="90"/>
      <c r="L96" s="90"/>
      <c r="M96" s="90"/>
      <c r="N96" s="90"/>
      <c r="O96" s="90"/>
      <c r="P96" s="90"/>
      <c r="Q96" s="90"/>
      <c r="R96" s="90"/>
      <c r="S96" s="90"/>
      <c r="T96" s="90"/>
      <c r="U96" s="90"/>
      <c r="V96" s="90"/>
      <c r="W96" s="90"/>
      <c r="X96" s="90"/>
      <c r="Y96" s="90"/>
      <c r="Z96" s="90"/>
    </row>
    <row r="97">
      <c r="A97" s="150" t="s">
        <v>366</v>
      </c>
      <c r="B97" s="140"/>
      <c r="C97" s="140"/>
      <c r="D97" s="140"/>
      <c r="E97" s="140"/>
      <c r="F97" s="141"/>
      <c r="G97" s="90"/>
      <c r="H97" s="90"/>
      <c r="I97" s="90"/>
      <c r="J97" s="90"/>
      <c r="K97" s="90"/>
      <c r="L97" s="90"/>
      <c r="M97" s="90"/>
      <c r="N97" s="90"/>
      <c r="O97" s="90"/>
      <c r="P97" s="90"/>
      <c r="Q97" s="90"/>
      <c r="R97" s="90"/>
      <c r="S97" s="90"/>
      <c r="T97" s="90"/>
      <c r="U97" s="90"/>
      <c r="V97" s="90"/>
      <c r="W97" s="90"/>
      <c r="X97" s="90"/>
      <c r="Y97" s="90"/>
      <c r="Z97" s="90"/>
    </row>
    <row r="98">
      <c r="A98" s="151" t="s">
        <v>367</v>
      </c>
      <c r="B98" s="140"/>
      <c r="C98" s="140"/>
      <c r="D98" s="140"/>
      <c r="E98" s="140"/>
      <c r="F98" s="141"/>
      <c r="G98" s="90"/>
      <c r="H98" s="90"/>
      <c r="I98" s="90"/>
      <c r="J98" s="90"/>
      <c r="K98" s="90"/>
      <c r="L98" s="90"/>
      <c r="M98" s="90"/>
      <c r="N98" s="90"/>
      <c r="O98" s="90"/>
      <c r="P98" s="90"/>
      <c r="Q98" s="90"/>
      <c r="R98" s="90"/>
      <c r="S98" s="90"/>
      <c r="T98" s="90"/>
      <c r="U98" s="90"/>
      <c r="V98" s="90"/>
      <c r="W98" s="90"/>
      <c r="X98" s="90"/>
      <c r="Y98" s="90"/>
      <c r="Z98" s="90"/>
    </row>
    <row r="99">
      <c r="A99" s="151" t="s">
        <v>368</v>
      </c>
      <c r="B99" s="140"/>
      <c r="C99" s="140"/>
      <c r="D99" s="140"/>
      <c r="E99" s="140"/>
      <c r="F99" s="141"/>
      <c r="G99" s="90"/>
      <c r="H99" s="90"/>
      <c r="I99" s="90"/>
      <c r="J99" s="90"/>
      <c r="K99" s="90"/>
      <c r="L99" s="90"/>
      <c r="M99" s="90"/>
      <c r="N99" s="90"/>
      <c r="O99" s="90"/>
      <c r="P99" s="90"/>
      <c r="Q99" s="90"/>
      <c r="R99" s="90"/>
      <c r="S99" s="90"/>
      <c r="T99" s="90"/>
      <c r="U99" s="90"/>
      <c r="V99" s="90"/>
      <c r="W99" s="90"/>
      <c r="X99" s="90"/>
      <c r="Y99" s="90"/>
      <c r="Z99" s="90"/>
    </row>
    <row r="100">
      <c r="A100" s="152" t="s">
        <v>369</v>
      </c>
      <c r="B100" s="143"/>
      <c r="C100" s="143"/>
      <c r="D100" s="143"/>
      <c r="E100" s="143"/>
      <c r="F100" s="144"/>
      <c r="G100" s="90"/>
      <c r="H100" s="90"/>
      <c r="I100" s="90"/>
      <c r="J100" s="90"/>
      <c r="K100" s="90"/>
      <c r="L100" s="90"/>
      <c r="M100" s="90"/>
      <c r="N100" s="90"/>
      <c r="O100" s="90"/>
      <c r="P100" s="90"/>
      <c r="Q100" s="90"/>
      <c r="R100" s="90"/>
      <c r="S100" s="90"/>
      <c r="T100" s="90"/>
      <c r="U100" s="90"/>
      <c r="V100" s="90"/>
      <c r="W100" s="90"/>
      <c r="X100" s="90"/>
      <c r="Y100" s="90"/>
      <c r="Z100" s="90"/>
    </row>
    <row r="101">
      <c r="A101" s="145"/>
      <c r="F101" s="146"/>
      <c r="G101" s="90"/>
      <c r="H101" s="90"/>
      <c r="I101" s="90"/>
      <c r="J101" s="90"/>
      <c r="K101" s="90"/>
      <c r="L101" s="90"/>
      <c r="M101" s="90"/>
      <c r="N101" s="90"/>
      <c r="O101" s="90"/>
      <c r="P101" s="90"/>
      <c r="Q101" s="90"/>
      <c r="R101" s="90"/>
      <c r="S101" s="90"/>
      <c r="T101" s="90"/>
      <c r="U101" s="90"/>
      <c r="V101" s="90"/>
      <c r="W101" s="90"/>
      <c r="X101" s="90"/>
      <c r="Y101" s="90"/>
      <c r="Z101" s="90"/>
    </row>
    <row r="102">
      <c r="A102" s="147"/>
      <c r="B102" s="148"/>
      <c r="C102" s="148"/>
      <c r="D102" s="148"/>
      <c r="E102" s="148"/>
      <c r="F102" s="149"/>
      <c r="G102" s="90"/>
      <c r="H102" s="90"/>
      <c r="I102" s="90"/>
      <c r="J102" s="90"/>
      <c r="K102" s="90"/>
      <c r="L102" s="90"/>
      <c r="M102" s="90"/>
      <c r="N102" s="90"/>
      <c r="O102" s="90"/>
      <c r="P102" s="90"/>
      <c r="Q102" s="90"/>
      <c r="R102" s="90"/>
      <c r="S102" s="90"/>
      <c r="T102" s="90"/>
      <c r="U102" s="90"/>
      <c r="V102" s="90"/>
      <c r="W102" s="90"/>
      <c r="X102" s="90"/>
      <c r="Y102" s="90"/>
      <c r="Z102" s="90"/>
    </row>
    <row r="103">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row>
    <row r="120">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row>
    <row r="12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row>
    <row r="122">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row>
    <row r="123">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row>
    <row r="124">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row>
    <row r="125">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row>
    <row r="126">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row>
    <row r="127">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row>
    <row r="128">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row>
    <row r="129">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row>
    <row r="130">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row>
    <row r="13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row>
    <row r="132">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row>
    <row r="133">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row>
    <row r="134">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row>
    <row r="135">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row>
    <row r="136">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row>
    <row r="137">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row>
    <row r="138">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row>
    <row r="139">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row>
    <row r="140">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row>
    <row r="14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row>
    <row r="142">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row>
    <row r="143">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row>
    <row r="144">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row>
    <row r="145">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row>
    <row r="146">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row>
    <row r="147">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row>
    <row r="148">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row>
    <row r="149">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row>
    <row r="150">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row>
    <row r="15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row>
    <row r="152">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row>
    <row r="153">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row>
    <row r="154">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row>
    <row r="155">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row>
    <row r="156">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row>
    <row r="157">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row>
    <row r="158">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row>
    <row r="159">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row>
    <row r="160">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row>
    <row r="16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row>
    <row r="162">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row>
    <row r="163">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row>
    <row r="164">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row>
    <row r="165">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row>
    <row r="166">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row>
    <row r="167">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row>
    <row r="168">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row>
    <row r="169">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row>
    <row r="170">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row>
    <row r="17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row>
    <row r="172">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row>
    <row r="173">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row>
    <row r="174">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row>
    <row r="175">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row>
    <row r="176">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row>
    <row r="177">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row>
    <row r="178">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row>
    <row r="179">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row>
    <row r="180">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row>
    <row r="18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row>
    <row r="182">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row>
    <row r="183">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row>
    <row r="184">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row>
    <row r="185">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row>
    <row r="186">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row>
    <row r="187">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row>
    <row r="188">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row>
    <row r="189">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row>
    <row r="190">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row>
    <row r="19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row>
    <row r="192">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row>
    <row r="193">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row>
    <row r="194">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row>
    <row r="195">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row>
    <row r="196">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row>
    <row r="197">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row>
    <row r="198">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row>
    <row r="199">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row>
    <row r="200">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row>
    <row r="20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row>
    <row r="202">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row>
    <row r="203">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row>
    <row r="204">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row>
    <row r="205">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row>
    <row r="206">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row>
    <row r="208">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row>
    <row r="209">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row>
    <row r="210">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row>
    <row r="21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row>
    <row r="212">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row>
    <row r="213">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row>
    <row r="216">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row>
    <row r="217">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row>
    <row r="218">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row>
    <row r="219">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row>
    <row r="220">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row>
    <row r="223">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row>
    <row r="224">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row>
    <row r="225">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row>
    <row r="226">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row>
    <row r="227">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row>
    <row r="228">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row>
    <row r="229">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row>
    <row r="230">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row>
    <row r="23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row>
    <row r="232">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row r="233">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row>
    <row r="234">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row>
    <row r="235">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row>
    <row r="236">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row>
    <row r="237">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row>
    <row r="238">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row>
    <row r="239">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row>
    <row r="240">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row>
    <row r="24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row>
    <row r="242">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row>
    <row r="243">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row>
    <row r="244">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row>
    <row r="245">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row>
    <row r="246">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row>
    <row r="247">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row>
    <row r="248">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row>
    <row r="249">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row>
    <row r="250">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row>
    <row r="25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row>
    <row r="252">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row>
    <row r="253">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row>
    <row r="254">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row>
    <row r="255">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row>
    <row r="256">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row>
    <row r="257">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row>
    <row r="258">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row>
    <row r="259">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row>
    <row r="260">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row r="26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row>
    <row r="262">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row>
    <row r="263">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row>
    <row r="264">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row>
    <row r="265">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row>
    <row r="266">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row>
    <row r="267">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row>
    <row r="268">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row>
    <row r="269">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row>
    <row r="270">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row>
    <row r="27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row>
    <row r="272">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row>
    <row r="273">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row>
    <row r="274">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row>
    <row r="275">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row>
    <row r="276">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row>
    <row r="277">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row>
    <row r="278">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row>
    <row r="279">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row>
    <row r="280">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row>
    <row r="28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row>
    <row r="282">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row>
    <row r="283">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row>
    <row r="284">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row>
    <row r="285">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row>
    <row r="286">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row>
    <row r="287">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row>
    <row r="288">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row>
    <row r="289">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row>
    <row r="290">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row>
    <row r="29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row>
    <row r="292">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row>
    <row r="293">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row>
    <row r="294">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row>
    <row r="295">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row>
    <row r="296">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row>
    <row r="297">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row>
    <row r="298">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row>
    <row r="299">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row>
    <row r="300">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row>
    <row r="30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row>
    <row r="302">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row>
    <row r="303">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row>
    <row r="304">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row>
    <row r="305">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row>
    <row r="306">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row>
    <row r="307">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row>
    <row r="308">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row>
    <row r="309">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row>
    <row r="310">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row>
    <row r="31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row>
    <row r="312">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row>
    <row r="313">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row>
    <row r="314">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row>
    <row r="315">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row>
    <row r="316">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row>
    <row r="317">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row>
    <row r="318">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row>
    <row r="319">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row>
    <row r="320">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row>
    <row r="32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row>
    <row r="322">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row>
    <row r="323">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row>
    <row r="324">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row>
    <row r="325">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row>
    <row r="326">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row>
    <row r="327">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row>
    <row r="328">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row>
    <row r="329">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row>
    <row r="330">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row>
    <row r="33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row>
    <row r="332">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row>
    <row r="333">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row>
    <row r="334">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row>
    <row r="335">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row>
    <row r="336">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row>
    <row r="337">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row>
    <row r="338">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row>
    <row r="339">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row>
    <row r="340">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row>
    <row r="34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row>
    <row r="342">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row>
    <row r="343">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row>
    <row r="344">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row>
    <row r="345">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row>
    <row r="346">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row>
    <row r="347">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row>
    <row r="348">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row>
    <row r="349">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row>
    <row r="350">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row>
    <row r="35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row>
    <row r="352">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row>
    <row r="353">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row>
    <row r="354">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row>
    <row r="355">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row>
    <row r="356">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row>
    <row r="357">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row>
    <row r="358">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row>
    <row r="359">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row>
    <row r="360">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row>
    <row r="36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row>
    <row r="362">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row>
    <row r="363">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row>
    <row r="364">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row>
    <row r="365">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row>
    <row r="366">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row>
    <row r="367">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row>
    <row r="368">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row>
    <row r="369">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row>
    <row r="370">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row>
    <row r="37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row>
    <row r="372">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row>
    <row r="373">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row>
    <row r="374">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row>
    <row r="375">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row>
    <row r="376">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row>
    <row r="377">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row>
    <row r="378">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row>
    <row r="379">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row>
    <row r="380">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row>
    <row r="38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row>
    <row r="382">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row>
    <row r="383">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row>
    <row r="384">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row>
    <row r="385">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row>
    <row r="386">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row>
    <row r="387">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row>
    <row r="388">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row>
    <row r="389">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row>
    <row r="390">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row>
    <row r="39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row>
    <row r="392">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row>
    <row r="393">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row>
    <row r="394">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row>
    <row r="395">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row>
    <row r="396">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row>
    <row r="397">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row>
    <row r="398">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row>
    <row r="399">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row>
    <row r="400">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row>
    <row r="40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row>
    <row r="402">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row>
    <row r="403">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row>
    <row r="404">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row>
    <row r="405">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row>
    <row r="406">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row>
    <row r="407">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row>
    <row r="408">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row>
    <row r="409">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row>
    <row r="410">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row>
    <row r="41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row>
    <row r="412">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row>
    <row r="413">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row>
    <row r="414">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row>
    <row r="415">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row>
    <row r="416">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row>
    <row r="417">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row>
    <row r="418">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row>
    <row r="419">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row>
    <row r="420">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row>
    <row r="42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row>
    <row r="422">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row>
    <row r="423">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row>
    <row r="424">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row>
    <row r="425">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row>
    <row r="426">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row>
    <row r="427">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row>
    <row r="428">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row>
    <row r="429">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row>
    <row r="430">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row>
    <row r="43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row>
    <row r="432">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row>
    <row r="433">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row>
    <row r="434">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row>
    <row r="435">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row>
    <row r="436">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row>
    <row r="437">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row>
    <row r="438">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row>
    <row r="439">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row>
    <row r="440">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row>
    <row r="44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row>
    <row r="442">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row>
    <row r="443">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row>
    <row r="444">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row>
    <row r="445">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row>
    <row r="446">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row>
    <row r="447">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row>
    <row r="448">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row>
    <row r="449">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row>
    <row r="450">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row>
    <row r="45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row>
    <row r="452">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row>
    <row r="453">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row>
    <row r="454">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row>
    <row r="455">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row>
    <row r="456">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c r="A988" s="153"/>
      <c r="B988" s="153"/>
      <c r="C988" s="153"/>
      <c r="D988" s="153"/>
      <c r="E988" s="153"/>
      <c r="F988" s="153"/>
      <c r="G988" s="90"/>
      <c r="H988" s="90"/>
      <c r="I988" s="90"/>
      <c r="J988" s="90"/>
      <c r="K988" s="90"/>
      <c r="L988" s="90"/>
      <c r="M988" s="90"/>
      <c r="N988" s="90"/>
      <c r="O988" s="90"/>
      <c r="P988" s="90"/>
      <c r="Q988" s="90"/>
      <c r="R988" s="90"/>
      <c r="S988" s="90"/>
      <c r="T988" s="90"/>
      <c r="U988" s="90"/>
      <c r="V988" s="90"/>
      <c r="W988" s="90"/>
      <c r="X988" s="90"/>
      <c r="Y988" s="90"/>
      <c r="Z988" s="90"/>
    </row>
  </sheetData>
  <mergeCells count="20">
    <mergeCell ref="A1:F1"/>
    <mergeCell ref="B2:F2"/>
    <mergeCell ref="B3:F3"/>
    <mergeCell ref="B4:D4"/>
    <mergeCell ref="B5:F5"/>
    <mergeCell ref="B6:F6"/>
    <mergeCell ref="B7:F7"/>
    <mergeCell ref="A95:F95"/>
    <mergeCell ref="A96:F96"/>
    <mergeCell ref="A97:F97"/>
    <mergeCell ref="A98:F98"/>
    <mergeCell ref="A99:F99"/>
    <mergeCell ref="A100:F102"/>
    <mergeCell ref="B8:F8"/>
    <mergeCell ref="B9:F9"/>
    <mergeCell ref="E19:E20"/>
    <mergeCell ref="E82:E83"/>
    <mergeCell ref="E84:E85"/>
    <mergeCell ref="A91:F91"/>
    <mergeCell ref="A92:F9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54" t="s">
        <v>370</v>
      </c>
      <c r="B1" s="76"/>
      <c r="C1" s="76"/>
      <c r="D1" s="76"/>
      <c r="E1" s="66"/>
    </row>
    <row r="2">
      <c r="A2" s="155" t="s">
        <v>371</v>
      </c>
      <c r="B2" s="66"/>
      <c r="C2" s="156" t="s">
        <v>30</v>
      </c>
      <c r="D2" s="76"/>
      <c r="E2" s="66"/>
    </row>
    <row r="3">
      <c r="A3" s="155" t="s">
        <v>372</v>
      </c>
      <c r="B3" s="66"/>
      <c r="C3" s="156" t="s">
        <v>373</v>
      </c>
      <c r="D3" s="76"/>
      <c r="E3" s="66"/>
    </row>
    <row r="4">
      <c r="A4" s="155" t="s">
        <v>374</v>
      </c>
      <c r="B4" s="66"/>
      <c r="C4" s="157" t="s">
        <v>375</v>
      </c>
      <c r="D4" s="76"/>
      <c r="E4" s="66"/>
    </row>
    <row r="5">
      <c r="A5" s="155" t="s">
        <v>376</v>
      </c>
      <c r="B5" s="66"/>
      <c r="C5" s="157" t="s">
        <v>377</v>
      </c>
      <c r="D5" s="76"/>
      <c r="E5" s="66"/>
    </row>
    <row r="6">
      <c r="A6" s="155" t="s">
        <v>378</v>
      </c>
      <c r="B6" s="66"/>
      <c r="C6" s="157" t="s">
        <v>379</v>
      </c>
      <c r="D6" s="76"/>
      <c r="E6" s="66"/>
    </row>
    <row r="7">
      <c r="A7" s="158" t="s">
        <v>45</v>
      </c>
      <c r="B7" s="159" t="s">
        <v>380</v>
      </c>
      <c r="C7" s="158" t="s">
        <v>381</v>
      </c>
      <c r="D7" s="160" t="s">
        <v>51</v>
      </c>
      <c r="E7" s="66"/>
    </row>
    <row r="8">
      <c r="A8" s="161">
        <v>1.0</v>
      </c>
      <c r="B8" s="162" t="s">
        <v>382</v>
      </c>
      <c r="C8" s="163" t="s">
        <v>39</v>
      </c>
      <c r="D8" s="69"/>
      <c r="E8" s="66"/>
    </row>
    <row r="9">
      <c r="A9" s="161">
        <v>2.0</v>
      </c>
      <c r="B9" s="162" t="s">
        <v>383</v>
      </c>
      <c r="C9" s="164" t="s">
        <v>39</v>
      </c>
      <c r="D9" s="165"/>
      <c r="E9" s="66"/>
    </row>
    <row r="10">
      <c r="A10" s="161">
        <v>3.0</v>
      </c>
      <c r="B10" s="163" t="s">
        <v>384</v>
      </c>
      <c r="C10" s="164" t="s">
        <v>39</v>
      </c>
      <c r="D10" s="165"/>
      <c r="E10" s="66"/>
    </row>
    <row r="11">
      <c r="A11" s="161">
        <v>4.0</v>
      </c>
      <c r="B11" s="162" t="s">
        <v>385</v>
      </c>
      <c r="C11" s="163" t="s">
        <v>39</v>
      </c>
      <c r="D11" s="69"/>
      <c r="E11" s="66"/>
    </row>
    <row r="12">
      <c r="A12" s="161">
        <f t="shared" ref="A12:A33" si="1">A11+1</f>
        <v>5</v>
      </c>
      <c r="B12" s="162" t="s">
        <v>386</v>
      </c>
      <c r="C12" s="164" t="s">
        <v>39</v>
      </c>
      <c r="D12" s="165"/>
      <c r="E12" s="66"/>
    </row>
    <row r="13">
      <c r="A13" s="161">
        <f t="shared" si="1"/>
        <v>6</v>
      </c>
      <c r="B13" s="162" t="s">
        <v>387</v>
      </c>
      <c r="C13" s="163" t="s">
        <v>40</v>
      </c>
      <c r="D13" s="157" t="s">
        <v>388</v>
      </c>
      <c r="E13" s="66"/>
    </row>
    <row r="14">
      <c r="A14" s="161">
        <f t="shared" si="1"/>
        <v>7</v>
      </c>
      <c r="B14" s="162" t="s">
        <v>389</v>
      </c>
      <c r="C14" s="164" t="s">
        <v>39</v>
      </c>
      <c r="D14" s="165"/>
      <c r="E14" s="66"/>
    </row>
    <row r="15">
      <c r="A15" s="161">
        <f t="shared" si="1"/>
        <v>8</v>
      </c>
      <c r="B15" s="162" t="s">
        <v>390</v>
      </c>
      <c r="C15" s="163" t="s">
        <v>42</v>
      </c>
      <c r="D15" s="157" t="s">
        <v>391</v>
      </c>
      <c r="E15" s="66"/>
    </row>
    <row r="16">
      <c r="A16" s="161">
        <f t="shared" si="1"/>
        <v>9</v>
      </c>
      <c r="B16" s="162" t="s">
        <v>392</v>
      </c>
      <c r="C16" s="163" t="s">
        <v>42</v>
      </c>
      <c r="D16" s="166" t="s">
        <v>393</v>
      </c>
      <c r="E16" s="55"/>
    </row>
    <row r="17">
      <c r="A17" s="161">
        <f t="shared" si="1"/>
        <v>10</v>
      </c>
      <c r="B17" s="162" t="s">
        <v>394</v>
      </c>
      <c r="C17" s="163" t="s">
        <v>39</v>
      </c>
      <c r="D17" s="69"/>
      <c r="E17" s="66"/>
    </row>
    <row r="18">
      <c r="A18" s="161">
        <f t="shared" si="1"/>
        <v>11</v>
      </c>
      <c r="B18" s="162" t="s">
        <v>395</v>
      </c>
      <c r="C18" s="163" t="s">
        <v>39</v>
      </c>
      <c r="D18" s="69"/>
      <c r="E18" s="66"/>
    </row>
    <row r="19">
      <c r="A19" s="161">
        <f t="shared" si="1"/>
        <v>12</v>
      </c>
      <c r="B19" s="162" t="s">
        <v>396</v>
      </c>
      <c r="C19" s="164" t="s">
        <v>39</v>
      </c>
      <c r="D19" s="157"/>
      <c r="E19" s="66"/>
    </row>
    <row r="20">
      <c r="A20" s="161">
        <f t="shared" si="1"/>
        <v>13</v>
      </c>
      <c r="B20" s="162" t="s">
        <v>397</v>
      </c>
      <c r="C20" s="163" t="s">
        <v>39</v>
      </c>
      <c r="D20" s="69"/>
      <c r="E20" s="66"/>
    </row>
    <row r="21">
      <c r="A21" s="161">
        <f t="shared" si="1"/>
        <v>14</v>
      </c>
      <c r="B21" s="162" t="s">
        <v>398</v>
      </c>
      <c r="C21" s="163" t="s">
        <v>39</v>
      </c>
      <c r="D21" s="69"/>
      <c r="E21" s="66"/>
    </row>
    <row r="22">
      <c r="A22" s="161">
        <f t="shared" si="1"/>
        <v>15</v>
      </c>
      <c r="B22" s="163" t="s">
        <v>399</v>
      </c>
      <c r="C22" s="164" t="s">
        <v>39</v>
      </c>
      <c r="D22" s="165"/>
      <c r="E22" s="66"/>
    </row>
    <row r="23">
      <c r="A23" s="161">
        <f t="shared" si="1"/>
        <v>16</v>
      </c>
      <c r="B23" s="162" t="s">
        <v>400</v>
      </c>
      <c r="C23" s="163" t="s">
        <v>40</v>
      </c>
      <c r="D23" s="157" t="s">
        <v>401</v>
      </c>
      <c r="E23" s="66"/>
    </row>
    <row r="24">
      <c r="A24" s="161">
        <f t="shared" si="1"/>
        <v>17</v>
      </c>
      <c r="B24" s="162" t="s">
        <v>402</v>
      </c>
      <c r="C24" s="164" t="s">
        <v>39</v>
      </c>
      <c r="D24" s="165"/>
      <c r="E24" s="66"/>
    </row>
    <row r="25">
      <c r="A25" s="161">
        <f t="shared" si="1"/>
        <v>18</v>
      </c>
      <c r="B25" s="163" t="s">
        <v>403</v>
      </c>
      <c r="C25" s="163" t="s">
        <v>39</v>
      </c>
      <c r="D25" s="69"/>
      <c r="E25" s="66"/>
    </row>
    <row r="26">
      <c r="A26" s="161">
        <f t="shared" si="1"/>
        <v>19</v>
      </c>
      <c r="B26" s="163" t="s">
        <v>404</v>
      </c>
      <c r="C26" s="164" t="s">
        <v>39</v>
      </c>
      <c r="D26" s="165"/>
      <c r="E26" s="66"/>
    </row>
    <row r="27">
      <c r="A27" s="161">
        <f t="shared" si="1"/>
        <v>20</v>
      </c>
      <c r="B27" s="163" t="s">
        <v>405</v>
      </c>
      <c r="C27" s="164" t="s">
        <v>39</v>
      </c>
      <c r="D27" s="165"/>
      <c r="E27" s="66"/>
    </row>
    <row r="28">
      <c r="A28" s="161">
        <f t="shared" si="1"/>
        <v>21</v>
      </c>
      <c r="B28" s="162" t="s">
        <v>406</v>
      </c>
      <c r="C28" s="163" t="s">
        <v>42</v>
      </c>
      <c r="D28" s="157" t="s">
        <v>407</v>
      </c>
      <c r="E28" s="66"/>
    </row>
    <row r="29">
      <c r="A29" s="161">
        <f t="shared" si="1"/>
        <v>22</v>
      </c>
      <c r="B29" s="163" t="s">
        <v>408</v>
      </c>
      <c r="C29" s="163" t="s">
        <v>42</v>
      </c>
      <c r="D29" s="165" t="s">
        <v>409</v>
      </c>
      <c r="E29" s="66"/>
    </row>
    <row r="30">
      <c r="A30" s="161">
        <f t="shared" si="1"/>
        <v>23</v>
      </c>
      <c r="B30" s="163" t="s">
        <v>410</v>
      </c>
      <c r="C30" s="163" t="s">
        <v>39</v>
      </c>
      <c r="D30" s="69"/>
      <c r="E30" s="66"/>
    </row>
    <row r="31">
      <c r="A31" s="161">
        <f t="shared" si="1"/>
        <v>24</v>
      </c>
      <c r="B31" s="163" t="s">
        <v>411</v>
      </c>
      <c r="C31" s="163" t="s">
        <v>39</v>
      </c>
      <c r="D31" s="69"/>
      <c r="E31" s="66"/>
    </row>
    <row r="32">
      <c r="A32" s="161">
        <f t="shared" si="1"/>
        <v>25</v>
      </c>
      <c r="B32" s="163" t="s">
        <v>412</v>
      </c>
      <c r="C32" s="164" t="s">
        <v>39</v>
      </c>
      <c r="D32" s="165"/>
      <c r="E32" s="66"/>
    </row>
    <row r="33">
      <c r="A33" s="161">
        <f t="shared" si="1"/>
        <v>26</v>
      </c>
      <c r="B33" s="162" t="s">
        <v>413</v>
      </c>
      <c r="C33" s="80"/>
      <c r="D33" s="69"/>
      <c r="E33" s="66"/>
    </row>
    <row r="34">
      <c r="A34" s="80"/>
      <c r="B34" s="163" t="s">
        <v>414</v>
      </c>
      <c r="C34" s="164" t="s">
        <v>39</v>
      </c>
      <c r="D34" s="167"/>
      <c r="E34" s="55"/>
    </row>
    <row r="35">
      <c r="A35" s="80"/>
      <c r="B35" s="163" t="s">
        <v>415</v>
      </c>
      <c r="C35" s="164" t="s">
        <v>39</v>
      </c>
      <c r="D35" s="167"/>
      <c r="E35" s="55"/>
    </row>
    <row r="36">
      <c r="A36" s="161">
        <v>27.0</v>
      </c>
      <c r="B36" s="168" t="s">
        <v>416</v>
      </c>
      <c r="C36" s="164" t="s">
        <v>39</v>
      </c>
      <c r="D36" s="165"/>
      <c r="E36" s="66"/>
    </row>
    <row r="37">
      <c r="A37" s="161">
        <f t="shared" ref="A37:A38" si="2">A36+1</f>
        <v>28</v>
      </c>
      <c r="B37" s="163" t="s">
        <v>417</v>
      </c>
      <c r="C37" s="163" t="s">
        <v>40</v>
      </c>
      <c r="D37" s="157" t="s">
        <v>418</v>
      </c>
      <c r="E37" s="66"/>
    </row>
    <row r="38">
      <c r="A38" s="161">
        <f t="shared" si="2"/>
        <v>29</v>
      </c>
      <c r="B38" s="163" t="s">
        <v>419</v>
      </c>
      <c r="C38" s="80"/>
      <c r="D38" s="69"/>
      <c r="E38" s="66"/>
    </row>
    <row r="39">
      <c r="A39" s="80"/>
      <c r="B39" s="168" t="s">
        <v>420</v>
      </c>
      <c r="C39" s="163" t="s">
        <v>39</v>
      </c>
      <c r="D39" s="69"/>
      <c r="E39" s="66"/>
    </row>
    <row r="40">
      <c r="A40" s="80"/>
      <c r="B40" s="163" t="s">
        <v>421</v>
      </c>
      <c r="C40" s="163" t="s">
        <v>39</v>
      </c>
      <c r="D40" s="69"/>
      <c r="E40" s="66"/>
    </row>
    <row r="41">
      <c r="A41" s="161">
        <v>30.0</v>
      </c>
      <c r="B41" s="162" t="s">
        <v>422</v>
      </c>
      <c r="C41" s="164" t="s">
        <v>39</v>
      </c>
      <c r="D41" s="165"/>
      <c r="E41" s="66"/>
    </row>
    <row r="42">
      <c r="A42" s="161">
        <f t="shared" ref="A42:A43" si="3">A41+1</f>
        <v>31</v>
      </c>
      <c r="B42" s="163" t="s">
        <v>423</v>
      </c>
      <c r="C42" s="164" t="s">
        <v>39</v>
      </c>
      <c r="D42" s="165"/>
      <c r="E42" s="66"/>
    </row>
    <row r="43">
      <c r="A43" s="161">
        <f t="shared" si="3"/>
        <v>32</v>
      </c>
      <c r="B43" s="163" t="s">
        <v>424</v>
      </c>
      <c r="C43" s="80"/>
      <c r="D43" s="69"/>
      <c r="E43" s="66"/>
    </row>
    <row r="44">
      <c r="A44" s="80"/>
      <c r="B44" s="163" t="s">
        <v>425</v>
      </c>
      <c r="C44" s="163" t="s">
        <v>39</v>
      </c>
      <c r="D44" s="69"/>
      <c r="E44" s="66"/>
    </row>
    <row r="45">
      <c r="A45" s="80"/>
      <c r="B45" s="163" t="s">
        <v>426</v>
      </c>
      <c r="C45" s="164" t="s">
        <v>42</v>
      </c>
      <c r="D45" s="157" t="s">
        <v>427</v>
      </c>
      <c r="E45" s="66"/>
    </row>
    <row r="46">
      <c r="A46" s="80"/>
      <c r="B46" s="163" t="s">
        <v>428</v>
      </c>
      <c r="C46" s="163" t="s">
        <v>39</v>
      </c>
      <c r="D46" s="69"/>
      <c r="E46" s="66"/>
    </row>
    <row r="47">
      <c r="A47" s="80"/>
      <c r="B47" s="163" t="s">
        <v>429</v>
      </c>
      <c r="C47" s="164" t="s">
        <v>39</v>
      </c>
      <c r="D47" s="165"/>
      <c r="E47" s="66"/>
    </row>
    <row r="48">
      <c r="A48" s="80"/>
      <c r="B48" s="163" t="s">
        <v>430</v>
      </c>
      <c r="C48" s="164" t="s">
        <v>39</v>
      </c>
      <c r="D48" s="165"/>
      <c r="E48" s="66"/>
    </row>
    <row r="49">
      <c r="A49" s="80"/>
      <c r="B49" s="163" t="s">
        <v>431</v>
      </c>
      <c r="C49" s="164" t="s">
        <v>39</v>
      </c>
      <c r="D49" s="165"/>
      <c r="E49" s="66"/>
    </row>
    <row r="50">
      <c r="A50" s="161">
        <v>33.0</v>
      </c>
      <c r="B50" s="163" t="s">
        <v>432</v>
      </c>
      <c r="C50" s="80"/>
      <c r="D50" s="69"/>
      <c r="E50" s="66"/>
    </row>
    <row r="51">
      <c r="A51" s="80"/>
      <c r="B51" s="163" t="s">
        <v>433</v>
      </c>
      <c r="C51" s="164" t="s">
        <v>39</v>
      </c>
      <c r="D51" s="165"/>
      <c r="E51" s="66"/>
    </row>
    <row r="52">
      <c r="A52" s="80"/>
      <c r="B52" s="163" t="s">
        <v>434</v>
      </c>
      <c r="C52" s="163" t="s">
        <v>39</v>
      </c>
      <c r="D52" s="69"/>
      <c r="E52" s="66"/>
    </row>
    <row r="53">
      <c r="A53" s="80"/>
      <c r="B53" s="163" t="s">
        <v>435</v>
      </c>
      <c r="C53" s="163" t="s">
        <v>39</v>
      </c>
      <c r="D53" s="69"/>
      <c r="E53" s="66"/>
    </row>
    <row r="54">
      <c r="A54" s="80"/>
      <c r="B54" s="163" t="s">
        <v>436</v>
      </c>
      <c r="C54" s="163" t="s">
        <v>42</v>
      </c>
      <c r="D54" s="165" t="s">
        <v>437</v>
      </c>
      <c r="E54" s="66"/>
    </row>
    <row r="55">
      <c r="A55" s="161">
        <v>34.0</v>
      </c>
      <c r="B55" s="163" t="s">
        <v>438</v>
      </c>
      <c r="C55" s="80"/>
      <c r="D55" s="69"/>
      <c r="E55" s="66"/>
    </row>
    <row r="56">
      <c r="A56" s="80"/>
      <c r="B56" s="163" t="s">
        <v>439</v>
      </c>
      <c r="C56" s="163" t="s">
        <v>39</v>
      </c>
      <c r="D56" s="69"/>
      <c r="E56" s="66"/>
    </row>
    <row r="57">
      <c r="A57" s="80"/>
      <c r="B57" s="163" t="s">
        <v>440</v>
      </c>
      <c r="C57" s="163" t="s">
        <v>39</v>
      </c>
      <c r="D57" s="69"/>
      <c r="E57" s="66"/>
    </row>
    <row r="58">
      <c r="A58" s="80"/>
      <c r="B58" s="163" t="s">
        <v>441</v>
      </c>
      <c r="C58" s="164" t="s">
        <v>39</v>
      </c>
      <c r="D58" s="165"/>
      <c r="E58" s="66"/>
    </row>
    <row r="59">
      <c r="A59" s="80"/>
      <c r="B59" s="163" t="s">
        <v>442</v>
      </c>
      <c r="C59" s="163" t="s">
        <v>39</v>
      </c>
      <c r="D59" s="69"/>
      <c r="E59" s="66"/>
    </row>
    <row r="60">
      <c r="A60" s="80"/>
      <c r="B60" s="163" t="s">
        <v>443</v>
      </c>
      <c r="C60" s="163" t="s">
        <v>42</v>
      </c>
      <c r="D60" s="165" t="s">
        <v>437</v>
      </c>
      <c r="E60" s="66"/>
    </row>
    <row r="61">
      <c r="A61" s="161">
        <v>35.0</v>
      </c>
      <c r="B61" s="163" t="s">
        <v>444</v>
      </c>
      <c r="C61" s="80"/>
      <c r="D61" s="69"/>
      <c r="E61" s="66"/>
    </row>
    <row r="62">
      <c r="A62" s="80"/>
      <c r="B62" s="163" t="s">
        <v>445</v>
      </c>
      <c r="C62" s="164" t="s">
        <v>39</v>
      </c>
      <c r="D62" s="165"/>
      <c r="E62" s="66"/>
    </row>
    <row r="63">
      <c r="A63" s="80"/>
      <c r="B63" s="163" t="s">
        <v>446</v>
      </c>
      <c r="C63" s="164" t="s">
        <v>39</v>
      </c>
      <c r="D63" s="167"/>
      <c r="E63" s="55"/>
    </row>
    <row r="64">
      <c r="A64" s="161">
        <v>36.0</v>
      </c>
      <c r="B64" s="163" t="s">
        <v>447</v>
      </c>
      <c r="C64" s="80"/>
      <c r="D64" s="69"/>
      <c r="E64" s="66"/>
    </row>
    <row r="65">
      <c r="A65" s="80"/>
      <c r="B65" s="163" t="s">
        <v>448</v>
      </c>
      <c r="C65" s="164" t="s">
        <v>39</v>
      </c>
      <c r="D65" s="165"/>
      <c r="E65" s="66"/>
    </row>
    <row r="66">
      <c r="A66" s="80"/>
      <c r="B66" s="163" t="s">
        <v>449</v>
      </c>
      <c r="C66" s="164" t="s">
        <v>39</v>
      </c>
      <c r="D66" s="165"/>
      <c r="E66" s="66"/>
    </row>
    <row r="67">
      <c r="A67" s="80"/>
      <c r="B67" s="163" t="s">
        <v>450</v>
      </c>
      <c r="C67" s="163" t="s">
        <v>39</v>
      </c>
      <c r="D67" s="69"/>
      <c r="E67" s="66"/>
    </row>
    <row r="68">
      <c r="A68" s="80"/>
      <c r="B68" s="163" t="s">
        <v>451</v>
      </c>
      <c r="C68" s="163" t="s">
        <v>40</v>
      </c>
      <c r="D68" s="157" t="s">
        <v>452</v>
      </c>
      <c r="E68" s="66"/>
    </row>
  </sheetData>
  <mergeCells count="73">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66:E66"/>
    <mergeCell ref="D67:E67"/>
    <mergeCell ref="D68:E68"/>
    <mergeCell ref="D59:E59"/>
    <mergeCell ref="D60:E60"/>
    <mergeCell ref="D61:E61"/>
    <mergeCell ref="D62:E62"/>
    <mergeCell ref="D63:E63"/>
    <mergeCell ref="D64:E64"/>
    <mergeCell ref="D65:E65"/>
    <mergeCell ref="A1:E1"/>
    <mergeCell ref="A2:B2"/>
    <mergeCell ref="C2:E2"/>
    <mergeCell ref="A3:B3"/>
    <mergeCell ref="C3:E3"/>
    <mergeCell ref="A4:B4"/>
    <mergeCell ref="C4:E4"/>
    <mergeCell ref="A5:B5"/>
    <mergeCell ref="C5:E5"/>
    <mergeCell ref="A6:B6"/>
    <mergeCell ref="C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s>
  <dataValidations>
    <dataValidation type="list" allowBlank="1" showErrorMessage="1" sqref="C8:C32 C34:C37 C39:C42 C44:C49 C51:C54 C56:C60 C62:C63 C65:C68">
      <formula1>"Pass,Fail,N/A,Null"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17.38"/>
    <col customWidth="1" min="4" max="4" width="26.75"/>
    <col customWidth="1" min="5" max="5" width="28.88"/>
    <col customWidth="1" min="6" max="6" width="40.25"/>
    <col customWidth="1" min="7" max="7" width="40.63"/>
    <col customWidth="1" min="8" max="8" width="46.13"/>
    <col customWidth="1" min="9" max="9" width="34.25"/>
    <col customWidth="1" min="11" max="11" width="33.88"/>
  </cols>
  <sheetData>
    <row r="1">
      <c r="A1" s="69"/>
      <c r="B1" s="169"/>
      <c r="C1" s="169"/>
      <c r="D1" s="169"/>
      <c r="E1" s="170"/>
      <c r="F1" s="170"/>
      <c r="G1" s="170"/>
      <c r="H1" s="170"/>
      <c r="I1" s="170"/>
      <c r="J1" s="171"/>
      <c r="K1" s="170"/>
    </row>
    <row r="2">
      <c r="A2" s="172" t="s">
        <v>39</v>
      </c>
      <c r="B2" s="66"/>
      <c r="C2" s="173" t="s">
        <v>40</v>
      </c>
      <c r="D2" s="173" t="s">
        <v>41</v>
      </c>
      <c r="E2" s="173" t="s">
        <v>42</v>
      </c>
      <c r="F2" s="173" t="s">
        <v>43</v>
      </c>
      <c r="G2" s="49"/>
      <c r="H2" s="49"/>
      <c r="I2" s="49"/>
      <c r="J2" s="174"/>
      <c r="K2" s="49"/>
    </row>
    <row r="3">
      <c r="A3" s="175">
        <f>COUNTIF(J6:J253, "Pass")</f>
        <v>39</v>
      </c>
      <c r="B3" s="55"/>
      <c r="C3" s="176">
        <f>COUNTIF(J6:J253, "Fail")</f>
        <v>0</v>
      </c>
      <c r="D3" s="80"/>
      <c r="E3" s="176">
        <f>COUNTIF(J6:J253, "N/A")</f>
        <v>0</v>
      </c>
      <c r="F3" s="176">
        <f>sum(A3:E3)</f>
        <v>39</v>
      </c>
      <c r="G3" s="49"/>
      <c r="H3" s="49"/>
      <c r="I3" s="49"/>
      <c r="J3" s="174"/>
      <c r="K3" s="49"/>
    </row>
    <row r="4">
      <c r="A4" s="177"/>
      <c r="B4" s="169"/>
      <c r="C4" s="169"/>
      <c r="D4" s="169"/>
      <c r="E4" s="178"/>
      <c r="F4" s="178"/>
      <c r="G4" s="178"/>
      <c r="H4" s="178"/>
      <c r="I4" s="178"/>
      <c r="J4" s="179"/>
      <c r="K4" s="178"/>
    </row>
    <row r="5">
      <c r="A5" s="180" t="s">
        <v>45</v>
      </c>
      <c r="B5" s="180" t="s">
        <v>453</v>
      </c>
      <c r="C5" s="180" t="s">
        <v>454</v>
      </c>
      <c r="D5" s="180" t="s">
        <v>455</v>
      </c>
      <c r="E5" s="180" t="s">
        <v>456</v>
      </c>
      <c r="F5" s="180" t="s">
        <v>457</v>
      </c>
      <c r="G5" s="180" t="s">
        <v>67</v>
      </c>
      <c r="H5" s="180" t="s">
        <v>68</v>
      </c>
      <c r="I5" s="180" t="s">
        <v>51</v>
      </c>
      <c r="J5" s="180" t="s">
        <v>458</v>
      </c>
      <c r="K5" s="180" t="s">
        <v>459</v>
      </c>
    </row>
    <row r="6">
      <c r="A6" s="181">
        <v>1.0</v>
      </c>
      <c r="B6" s="181" t="s">
        <v>460</v>
      </c>
      <c r="C6" s="182" t="s">
        <v>461</v>
      </c>
      <c r="D6" s="183" t="s">
        <v>462</v>
      </c>
      <c r="E6" s="184" t="s">
        <v>463</v>
      </c>
      <c r="F6" s="184" t="s">
        <v>464</v>
      </c>
      <c r="G6" s="184" t="s">
        <v>465</v>
      </c>
      <c r="H6" s="184" t="s">
        <v>466</v>
      </c>
      <c r="I6" s="184" t="s">
        <v>467</v>
      </c>
      <c r="J6" s="185" t="s">
        <v>468</v>
      </c>
    </row>
    <row r="7">
      <c r="A7" s="181">
        <v>2.0</v>
      </c>
      <c r="B7" s="181" t="s">
        <v>469</v>
      </c>
      <c r="D7" s="183" t="s">
        <v>462</v>
      </c>
      <c r="E7" s="184" t="s">
        <v>470</v>
      </c>
      <c r="F7" s="184" t="s">
        <v>471</v>
      </c>
      <c r="G7" s="183" t="s">
        <v>472</v>
      </c>
      <c r="H7" s="184" t="s">
        <v>473</v>
      </c>
      <c r="I7" s="184" t="s">
        <v>474</v>
      </c>
      <c r="J7" s="185" t="s">
        <v>468</v>
      </c>
    </row>
    <row r="8">
      <c r="A8" s="181">
        <v>3.0</v>
      </c>
      <c r="B8" s="181" t="s">
        <v>475</v>
      </c>
      <c r="D8" s="183" t="s">
        <v>462</v>
      </c>
      <c r="E8" s="183" t="s">
        <v>476</v>
      </c>
      <c r="F8" s="184" t="s">
        <v>477</v>
      </c>
      <c r="G8" s="183" t="s">
        <v>478</v>
      </c>
      <c r="H8" s="184" t="s">
        <v>479</v>
      </c>
      <c r="I8" s="186"/>
      <c r="J8" s="185" t="s">
        <v>468</v>
      </c>
    </row>
    <row r="9">
      <c r="A9" s="181">
        <v>4.0</v>
      </c>
      <c r="B9" s="181" t="s">
        <v>480</v>
      </c>
      <c r="D9" s="183" t="s">
        <v>462</v>
      </c>
      <c r="E9" s="184" t="s">
        <v>481</v>
      </c>
      <c r="F9" s="184" t="s">
        <v>482</v>
      </c>
      <c r="G9" s="183" t="s">
        <v>483</v>
      </c>
      <c r="H9" s="184" t="s">
        <v>484</v>
      </c>
      <c r="I9" s="184"/>
      <c r="J9" s="185" t="s">
        <v>468</v>
      </c>
    </row>
    <row r="10">
      <c r="A10" s="181">
        <v>5.0</v>
      </c>
      <c r="B10" s="181" t="s">
        <v>485</v>
      </c>
      <c r="D10" s="183" t="s">
        <v>486</v>
      </c>
      <c r="E10" s="184" t="s">
        <v>487</v>
      </c>
      <c r="F10" s="184" t="s">
        <v>488</v>
      </c>
      <c r="G10" s="184" t="s">
        <v>489</v>
      </c>
      <c r="H10" s="184" t="s">
        <v>490</v>
      </c>
      <c r="I10" s="186"/>
      <c r="J10" s="185" t="s">
        <v>468</v>
      </c>
    </row>
    <row r="11">
      <c r="A11" s="181">
        <v>6.0</v>
      </c>
      <c r="B11" s="181" t="s">
        <v>491</v>
      </c>
      <c r="D11" s="183" t="s">
        <v>486</v>
      </c>
      <c r="E11" s="184" t="s">
        <v>492</v>
      </c>
      <c r="F11" s="184" t="s">
        <v>493</v>
      </c>
      <c r="G11" s="183" t="s">
        <v>494</v>
      </c>
      <c r="H11" s="184" t="s">
        <v>495</v>
      </c>
      <c r="I11" s="187"/>
      <c r="J11" s="185" t="s">
        <v>468</v>
      </c>
    </row>
    <row r="12">
      <c r="A12" s="181">
        <v>7.0</v>
      </c>
      <c r="B12" s="181" t="s">
        <v>496</v>
      </c>
      <c r="D12" s="183" t="s">
        <v>486</v>
      </c>
      <c r="E12" s="184" t="s">
        <v>497</v>
      </c>
      <c r="F12" s="184" t="s">
        <v>498</v>
      </c>
      <c r="G12" s="183" t="s">
        <v>499</v>
      </c>
      <c r="H12" s="184" t="s">
        <v>500</v>
      </c>
      <c r="I12" s="187"/>
      <c r="J12" s="185" t="s">
        <v>468</v>
      </c>
    </row>
    <row r="13">
      <c r="A13" s="181">
        <v>8.0</v>
      </c>
      <c r="B13" s="181" t="s">
        <v>501</v>
      </c>
      <c r="D13" s="183" t="s">
        <v>502</v>
      </c>
      <c r="E13" s="184" t="s">
        <v>503</v>
      </c>
      <c r="F13" s="184" t="s">
        <v>504</v>
      </c>
      <c r="G13" s="183" t="s">
        <v>505</v>
      </c>
      <c r="H13" s="184" t="s">
        <v>506</v>
      </c>
      <c r="I13" s="187"/>
      <c r="J13" s="185" t="s">
        <v>468</v>
      </c>
    </row>
    <row r="14">
      <c r="A14" s="181">
        <v>9.0</v>
      </c>
      <c r="B14" s="181" t="s">
        <v>507</v>
      </c>
      <c r="D14" s="183" t="s">
        <v>508</v>
      </c>
      <c r="E14" s="184" t="s">
        <v>509</v>
      </c>
      <c r="F14" s="184" t="s">
        <v>510</v>
      </c>
      <c r="G14" s="184" t="s">
        <v>511</v>
      </c>
      <c r="H14" s="184" t="s">
        <v>512</v>
      </c>
      <c r="I14" s="184" t="s">
        <v>513</v>
      </c>
      <c r="J14" s="185" t="s">
        <v>468</v>
      </c>
    </row>
    <row r="15">
      <c r="A15" s="181">
        <v>10.0</v>
      </c>
      <c r="B15" s="181" t="s">
        <v>110</v>
      </c>
      <c r="D15" s="183" t="s">
        <v>514</v>
      </c>
      <c r="E15" s="184" t="s">
        <v>515</v>
      </c>
      <c r="F15" s="184" t="s">
        <v>516</v>
      </c>
      <c r="G15" s="184" t="s">
        <v>517</v>
      </c>
      <c r="H15" s="184" t="s">
        <v>518</v>
      </c>
      <c r="I15" s="184" t="s">
        <v>519</v>
      </c>
      <c r="J15" s="185" t="s">
        <v>468</v>
      </c>
    </row>
    <row r="16">
      <c r="A16" s="181">
        <v>11.0</v>
      </c>
      <c r="B16" s="181" t="s">
        <v>114</v>
      </c>
      <c r="C16" s="182" t="s">
        <v>520</v>
      </c>
      <c r="D16" s="183" t="s">
        <v>462</v>
      </c>
      <c r="E16" s="184" t="s">
        <v>521</v>
      </c>
      <c r="F16" s="184" t="s">
        <v>522</v>
      </c>
      <c r="G16" s="183" t="s">
        <v>523</v>
      </c>
      <c r="H16" s="184" t="s">
        <v>524</v>
      </c>
      <c r="I16" s="186"/>
      <c r="J16" s="185" t="s">
        <v>468</v>
      </c>
    </row>
    <row r="17">
      <c r="A17" s="181">
        <v>12.0</v>
      </c>
      <c r="B17" s="181" t="s">
        <v>118</v>
      </c>
      <c r="D17" s="183" t="s">
        <v>462</v>
      </c>
      <c r="E17" s="184" t="s">
        <v>525</v>
      </c>
      <c r="F17" s="184" t="s">
        <v>526</v>
      </c>
      <c r="G17" s="183" t="s">
        <v>527</v>
      </c>
      <c r="H17" s="184" t="s">
        <v>528</v>
      </c>
      <c r="I17" s="184" t="s">
        <v>529</v>
      </c>
      <c r="J17" s="185" t="s">
        <v>468</v>
      </c>
    </row>
    <row r="18">
      <c r="A18" s="181">
        <v>13.0</v>
      </c>
      <c r="B18" s="181" t="s">
        <v>123</v>
      </c>
      <c r="D18" s="183" t="s">
        <v>462</v>
      </c>
      <c r="E18" s="184" t="s">
        <v>530</v>
      </c>
      <c r="F18" s="184" t="s">
        <v>531</v>
      </c>
      <c r="G18" s="183" t="s">
        <v>532</v>
      </c>
      <c r="H18" s="184" t="s">
        <v>533</v>
      </c>
      <c r="I18" s="184" t="s">
        <v>534</v>
      </c>
      <c r="J18" s="185" t="s">
        <v>468</v>
      </c>
    </row>
    <row r="19">
      <c r="A19" s="181">
        <v>14.0</v>
      </c>
      <c r="B19" s="181" t="s">
        <v>127</v>
      </c>
      <c r="D19" s="183" t="s">
        <v>462</v>
      </c>
      <c r="E19" s="184" t="s">
        <v>535</v>
      </c>
      <c r="F19" s="184" t="s">
        <v>536</v>
      </c>
      <c r="G19" s="183" t="s">
        <v>537</v>
      </c>
      <c r="H19" s="184" t="s">
        <v>538</v>
      </c>
      <c r="I19" s="184" t="s">
        <v>539</v>
      </c>
      <c r="J19" s="185" t="s">
        <v>468</v>
      </c>
    </row>
    <row r="20">
      <c r="A20" s="181">
        <v>15.0</v>
      </c>
      <c r="B20" s="181" t="s">
        <v>131</v>
      </c>
      <c r="D20" s="183" t="s">
        <v>462</v>
      </c>
      <c r="E20" s="184" t="s">
        <v>540</v>
      </c>
      <c r="F20" s="184" t="s">
        <v>541</v>
      </c>
      <c r="G20" s="184" t="s">
        <v>542</v>
      </c>
      <c r="H20" s="184" t="s">
        <v>543</v>
      </c>
      <c r="I20" s="184" t="s">
        <v>544</v>
      </c>
      <c r="J20" s="185" t="s">
        <v>468</v>
      </c>
    </row>
    <row r="21">
      <c r="A21" s="181">
        <v>16.0</v>
      </c>
      <c r="B21" s="181" t="s">
        <v>136</v>
      </c>
      <c r="D21" s="183" t="s">
        <v>462</v>
      </c>
      <c r="E21" s="184" t="s">
        <v>545</v>
      </c>
      <c r="F21" s="184" t="s">
        <v>546</v>
      </c>
      <c r="G21" s="184" t="s">
        <v>547</v>
      </c>
      <c r="H21" s="184" t="s">
        <v>548</v>
      </c>
      <c r="I21" s="184" t="s">
        <v>549</v>
      </c>
      <c r="J21" s="185" t="s">
        <v>468</v>
      </c>
    </row>
    <row r="22">
      <c r="A22" s="181">
        <v>17.0</v>
      </c>
      <c r="B22" s="181" t="s">
        <v>141</v>
      </c>
      <c r="D22" s="183" t="s">
        <v>550</v>
      </c>
      <c r="E22" s="184" t="s">
        <v>551</v>
      </c>
      <c r="F22" s="184" t="s">
        <v>552</v>
      </c>
      <c r="G22" s="183" t="s">
        <v>553</v>
      </c>
      <c r="H22" s="184" t="s">
        <v>554</v>
      </c>
      <c r="I22" s="184" t="s">
        <v>555</v>
      </c>
      <c r="J22" s="185" t="s">
        <v>468</v>
      </c>
    </row>
    <row r="23">
      <c r="A23" s="181">
        <v>18.0</v>
      </c>
      <c r="B23" s="181" t="s">
        <v>146</v>
      </c>
      <c r="D23" s="183" t="s">
        <v>502</v>
      </c>
      <c r="E23" s="184" t="s">
        <v>556</v>
      </c>
      <c r="F23" s="184" t="s">
        <v>557</v>
      </c>
      <c r="G23" s="183" t="s">
        <v>558</v>
      </c>
      <c r="H23" s="184" t="s">
        <v>559</v>
      </c>
      <c r="I23" s="184" t="s">
        <v>560</v>
      </c>
      <c r="J23" s="185" t="s">
        <v>468</v>
      </c>
    </row>
    <row r="24">
      <c r="A24" s="181">
        <v>19.0</v>
      </c>
      <c r="B24" s="181" t="s">
        <v>151</v>
      </c>
      <c r="D24" s="183" t="s">
        <v>508</v>
      </c>
      <c r="E24" s="184" t="s">
        <v>561</v>
      </c>
      <c r="F24" s="184" t="s">
        <v>562</v>
      </c>
      <c r="G24" s="184" t="s">
        <v>563</v>
      </c>
      <c r="H24" s="184" t="s">
        <v>564</v>
      </c>
      <c r="I24" s="187"/>
      <c r="J24" s="185" t="s">
        <v>468</v>
      </c>
    </row>
    <row r="25">
      <c r="A25" s="181">
        <v>20.0</v>
      </c>
      <c r="B25" s="181" t="s">
        <v>155</v>
      </c>
      <c r="D25" s="183" t="s">
        <v>514</v>
      </c>
      <c r="E25" s="184" t="s">
        <v>565</v>
      </c>
      <c r="F25" s="184" t="s">
        <v>566</v>
      </c>
      <c r="G25" s="184" t="s">
        <v>567</v>
      </c>
      <c r="H25" s="184" t="s">
        <v>568</v>
      </c>
      <c r="I25" s="186"/>
      <c r="J25" s="185" t="s">
        <v>468</v>
      </c>
    </row>
    <row r="26">
      <c r="A26" s="181">
        <v>21.0</v>
      </c>
      <c r="B26" s="181" t="s">
        <v>159</v>
      </c>
      <c r="D26" s="183" t="s">
        <v>514</v>
      </c>
      <c r="E26" s="184" t="s">
        <v>569</v>
      </c>
      <c r="F26" s="184" t="s">
        <v>570</v>
      </c>
      <c r="G26" s="184" t="s">
        <v>571</v>
      </c>
      <c r="H26" s="184" t="s">
        <v>572</v>
      </c>
      <c r="I26" s="186"/>
      <c r="J26" s="185" t="s">
        <v>468</v>
      </c>
    </row>
    <row r="27">
      <c r="A27" s="181">
        <v>22.0</v>
      </c>
      <c r="B27" s="181" t="s">
        <v>163</v>
      </c>
      <c r="D27" s="183" t="s">
        <v>514</v>
      </c>
      <c r="E27" s="184" t="s">
        <v>573</v>
      </c>
      <c r="F27" s="184" t="s">
        <v>574</v>
      </c>
      <c r="G27" s="184" t="s">
        <v>575</v>
      </c>
      <c r="H27" s="184" t="s">
        <v>576</v>
      </c>
      <c r="I27" s="184" t="s">
        <v>577</v>
      </c>
      <c r="J27" s="185" t="s">
        <v>468</v>
      </c>
    </row>
    <row r="28">
      <c r="A28" s="181">
        <v>23.0</v>
      </c>
      <c r="B28" s="181" t="s">
        <v>167</v>
      </c>
      <c r="D28" s="183" t="s">
        <v>514</v>
      </c>
      <c r="E28" s="184" t="s">
        <v>578</v>
      </c>
      <c r="F28" s="184" t="s">
        <v>579</v>
      </c>
      <c r="G28" s="184" t="s">
        <v>580</v>
      </c>
      <c r="H28" s="184" t="s">
        <v>581</v>
      </c>
      <c r="I28" s="184" t="s">
        <v>582</v>
      </c>
      <c r="J28" s="185" t="s">
        <v>468</v>
      </c>
    </row>
    <row r="29">
      <c r="A29" s="181">
        <v>24.0</v>
      </c>
      <c r="B29" s="181" t="s">
        <v>170</v>
      </c>
      <c r="D29" s="183" t="s">
        <v>583</v>
      </c>
      <c r="E29" s="184" t="s">
        <v>584</v>
      </c>
      <c r="F29" s="184" t="s">
        <v>585</v>
      </c>
      <c r="G29" s="184" t="s">
        <v>586</v>
      </c>
      <c r="H29" s="184" t="s">
        <v>587</v>
      </c>
      <c r="I29" s="184" t="s">
        <v>588</v>
      </c>
      <c r="J29" s="185" t="s">
        <v>468</v>
      </c>
    </row>
    <row r="30">
      <c r="A30" s="181">
        <v>25.0</v>
      </c>
      <c r="B30" s="181" t="s">
        <v>174</v>
      </c>
      <c r="D30" s="183" t="s">
        <v>589</v>
      </c>
      <c r="E30" s="184" t="s">
        <v>590</v>
      </c>
      <c r="F30" s="184" t="s">
        <v>591</v>
      </c>
      <c r="G30" s="184" t="s">
        <v>592</v>
      </c>
      <c r="H30" s="184" t="s">
        <v>593</v>
      </c>
      <c r="I30" s="186"/>
      <c r="J30" s="185" t="s">
        <v>468</v>
      </c>
    </row>
    <row r="31">
      <c r="A31" s="181">
        <v>26.0</v>
      </c>
      <c r="B31" s="181" t="s">
        <v>175</v>
      </c>
      <c r="D31" s="183" t="s">
        <v>594</v>
      </c>
      <c r="E31" s="184" t="s">
        <v>595</v>
      </c>
      <c r="F31" s="184" t="s">
        <v>596</v>
      </c>
      <c r="G31" s="184" t="s">
        <v>597</v>
      </c>
      <c r="H31" s="184" t="s">
        <v>598</v>
      </c>
      <c r="I31" s="184" t="s">
        <v>599</v>
      </c>
      <c r="J31" s="185" t="s">
        <v>468</v>
      </c>
    </row>
    <row r="32">
      <c r="A32" s="181">
        <v>27.0</v>
      </c>
      <c r="B32" s="181" t="s">
        <v>179</v>
      </c>
      <c r="D32" s="183" t="s">
        <v>600</v>
      </c>
      <c r="E32" s="184" t="s">
        <v>601</v>
      </c>
      <c r="F32" s="184" t="s">
        <v>602</v>
      </c>
      <c r="G32" s="184" t="s">
        <v>603</v>
      </c>
      <c r="H32" s="184" t="s">
        <v>604</v>
      </c>
      <c r="I32" s="186"/>
      <c r="J32" s="185" t="s">
        <v>468</v>
      </c>
    </row>
    <row r="33">
      <c r="A33" s="181">
        <v>28.0</v>
      </c>
      <c r="B33" s="181" t="s">
        <v>183</v>
      </c>
      <c r="D33" s="183" t="s">
        <v>605</v>
      </c>
      <c r="E33" s="184" t="s">
        <v>606</v>
      </c>
      <c r="F33" s="184" t="s">
        <v>607</v>
      </c>
      <c r="G33" s="184" t="s">
        <v>608</v>
      </c>
      <c r="H33" s="184" t="s">
        <v>609</v>
      </c>
      <c r="I33" s="186"/>
      <c r="J33" s="185" t="s">
        <v>468</v>
      </c>
    </row>
    <row r="34">
      <c r="A34" s="181">
        <v>29.0</v>
      </c>
      <c r="B34" s="181" t="s">
        <v>188</v>
      </c>
      <c r="D34" s="183" t="s">
        <v>610</v>
      </c>
      <c r="E34" s="184" t="s">
        <v>611</v>
      </c>
      <c r="F34" s="184" t="s">
        <v>612</v>
      </c>
      <c r="G34" s="184" t="s">
        <v>613</v>
      </c>
      <c r="H34" s="184" t="s">
        <v>614</v>
      </c>
      <c r="I34" s="184" t="s">
        <v>615</v>
      </c>
      <c r="J34" s="185" t="s">
        <v>468</v>
      </c>
    </row>
    <row r="35">
      <c r="A35" s="181">
        <v>30.0</v>
      </c>
      <c r="B35" s="181" t="s">
        <v>193</v>
      </c>
      <c r="D35" s="183" t="s">
        <v>616</v>
      </c>
      <c r="E35" s="184" t="s">
        <v>617</v>
      </c>
      <c r="F35" s="184" t="s">
        <v>618</v>
      </c>
      <c r="G35" s="184" t="s">
        <v>619</v>
      </c>
      <c r="H35" s="184" t="s">
        <v>620</v>
      </c>
      <c r="I35" s="186"/>
      <c r="J35" s="185" t="s">
        <v>468</v>
      </c>
    </row>
    <row r="36">
      <c r="A36" s="181">
        <v>31.0</v>
      </c>
      <c r="B36" s="181" t="s">
        <v>197</v>
      </c>
      <c r="C36" s="182" t="s">
        <v>621</v>
      </c>
      <c r="D36" s="183" t="s">
        <v>622</v>
      </c>
      <c r="E36" s="184" t="s">
        <v>623</v>
      </c>
      <c r="F36" s="184" t="s">
        <v>624</v>
      </c>
      <c r="G36" s="184" t="s">
        <v>625</v>
      </c>
      <c r="H36" s="184" t="s">
        <v>626</v>
      </c>
      <c r="I36" s="187"/>
      <c r="J36" s="185" t="s">
        <v>468</v>
      </c>
    </row>
    <row r="37">
      <c r="A37" s="181">
        <v>32.0</v>
      </c>
      <c r="B37" s="181" t="s">
        <v>201</v>
      </c>
      <c r="D37" s="183" t="s">
        <v>627</v>
      </c>
      <c r="E37" s="184" t="s">
        <v>628</v>
      </c>
      <c r="F37" s="184" t="s">
        <v>629</v>
      </c>
      <c r="G37" s="184" t="s">
        <v>630</v>
      </c>
      <c r="H37" s="184" t="s">
        <v>631</v>
      </c>
      <c r="I37" s="184" t="s">
        <v>632</v>
      </c>
      <c r="J37" s="185" t="s">
        <v>468</v>
      </c>
    </row>
    <row r="38">
      <c r="A38" s="181">
        <v>33.0</v>
      </c>
      <c r="B38" s="181" t="s">
        <v>205</v>
      </c>
      <c r="D38" s="183" t="s">
        <v>627</v>
      </c>
      <c r="E38" s="184" t="s">
        <v>633</v>
      </c>
      <c r="F38" s="184" t="s">
        <v>634</v>
      </c>
      <c r="G38" s="183" t="s">
        <v>635</v>
      </c>
      <c r="H38" s="184" t="s">
        <v>636</v>
      </c>
      <c r="I38" s="184" t="s">
        <v>637</v>
      </c>
      <c r="J38" s="185" t="s">
        <v>468</v>
      </c>
    </row>
    <row r="39">
      <c r="A39" s="181">
        <v>34.0</v>
      </c>
      <c r="B39" s="181" t="s">
        <v>209</v>
      </c>
      <c r="D39" s="183" t="s">
        <v>627</v>
      </c>
      <c r="E39" s="184" t="s">
        <v>638</v>
      </c>
      <c r="F39" s="184" t="s">
        <v>639</v>
      </c>
      <c r="G39" s="184" t="s">
        <v>640</v>
      </c>
      <c r="H39" s="184" t="s">
        <v>641</v>
      </c>
      <c r="I39" s="187"/>
      <c r="J39" s="185" t="s">
        <v>468</v>
      </c>
    </row>
    <row r="40">
      <c r="A40" s="181">
        <v>35.0</v>
      </c>
      <c r="B40" s="181" t="s">
        <v>214</v>
      </c>
      <c r="C40" s="182" t="s">
        <v>642</v>
      </c>
      <c r="D40" s="183" t="s">
        <v>643</v>
      </c>
      <c r="E40" s="184" t="s">
        <v>644</v>
      </c>
      <c r="F40" s="184" t="s">
        <v>645</v>
      </c>
      <c r="G40" s="183" t="s">
        <v>646</v>
      </c>
      <c r="H40" s="184" t="s">
        <v>647</v>
      </c>
      <c r="I40" s="184" t="s">
        <v>648</v>
      </c>
      <c r="J40" s="185" t="s">
        <v>468</v>
      </c>
    </row>
    <row r="41">
      <c r="A41" s="181">
        <v>36.0</v>
      </c>
      <c r="B41" s="181" t="s">
        <v>215</v>
      </c>
      <c r="D41" s="183" t="s">
        <v>649</v>
      </c>
      <c r="E41" s="184" t="s">
        <v>650</v>
      </c>
      <c r="F41" s="184" t="s">
        <v>651</v>
      </c>
      <c r="G41" s="184" t="s">
        <v>652</v>
      </c>
      <c r="H41" s="184" t="s">
        <v>653</v>
      </c>
      <c r="I41" s="184" t="s">
        <v>654</v>
      </c>
      <c r="J41" s="185" t="s">
        <v>468</v>
      </c>
    </row>
    <row r="42">
      <c r="A42" s="181">
        <v>37.0</v>
      </c>
      <c r="B42" s="181" t="s">
        <v>217</v>
      </c>
      <c r="D42" s="183" t="s">
        <v>655</v>
      </c>
      <c r="E42" s="184" t="s">
        <v>656</v>
      </c>
      <c r="F42" s="184" t="s">
        <v>657</v>
      </c>
      <c r="G42" s="183" t="s">
        <v>658</v>
      </c>
      <c r="H42" s="184" t="s">
        <v>659</v>
      </c>
      <c r="I42" s="184" t="s">
        <v>660</v>
      </c>
      <c r="J42" s="185" t="s">
        <v>468</v>
      </c>
    </row>
    <row r="43">
      <c r="A43" s="181">
        <v>38.0</v>
      </c>
      <c r="B43" s="181" t="s">
        <v>218</v>
      </c>
      <c r="D43" s="183" t="s">
        <v>655</v>
      </c>
      <c r="E43" s="184" t="s">
        <v>661</v>
      </c>
      <c r="F43" s="184" t="s">
        <v>662</v>
      </c>
      <c r="G43" s="184" t="s">
        <v>663</v>
      </c>
      <c r="H43" s="184" t="s">
        <v>664</v>
      </c>
      <c r="I43" s="184" t="s">
        <v>665</v>
      </c>
      <c r="J43" s="185" t="s">
        <v>468</v>
      </c>
    </row>
    <row r="44">
      <c r="A44" s="181">
        <v>39.0</v>
      </c>
      <c r="B44" s="181" t="s">
        <v>219</v>
      </c>
      <c r="D44" s="183" t="s">
        <v>655</v>
      </c>
      <c r="E44" s="188" t="s">
        <v>666</v>
      </c>
      <c r="F44" s="188" t="s">
        <v>667</v>
      </c>
      <c r="G44" s="188" t="s">
        <v>668</v>
      </c>
      <c r="H44" s="188" t="s">
        <v>669</v>
      </c>
      <c r="I44" s="188" t="s">
        <v>670</v>
      </c>
      <c r="J44" s="189" t="s">
        <v>468</v>
      </c>
    </row>
  </sheetData>
  <mergeCells count="10">
    <mergeCell ref="C36:C39"/>
    <mergeCell ref="C40:C44"/>
    <mergeCell ref="A2:B2"/>
    <mergeCell ref="A3:B3"/>
    <mergeCell ref="C6:C15"/>
    <mergeCell ref="K6:K15"/>
    <mergeCell ref="C16:C35"/>
    <mergeCell ref="K16:K35"/>
    <mergeCell ref="K36:K39"/>
    <mergeCell ref="K40:K44"/>
  </mergeCells>
  <drawing r:id="rId1"/>
</worksheet>
</file>